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nbp5393_psu_edu/Documents/Documents/Codes/MKM_DRM/MKM_DRM_refactored/data/inputs/"/>
    </mc:Choice>
  </mc:AlternateContent>
  <xr:revisionPtr revIDLastSave="2" documentId="13_ncr:1_{AD9153AC-7BB6-4C36-825E-914EEE29486C}" xr6:coauthVersionLast="47" xr6:coauthVersionMax="47" xr10:uidLastSave="{872B3D8C-1007-46FD-9440-0972CE583DBB}"/>
  <bookViews>
    <workbookView xWindow="-108" yWindow="-108" windowWidth="23256" windowHeight="12456" xr2:uid="{00000000-000D-0000-FFFF-FFFF00000000}"/>
  </bookViews>
  <sheets>
    <sheet name="Gas phase thermochem." sheetId="8" r:id="rId1"/>
    <sheet name="Original params" sheetId="2" r:id="rId2"/>
    <sheet name="Initial Krxn_calc" sheetId="3" r:id="rId3"/>
    <sheet name="Corrections1" sheetId="9" r:id="rId4"/>
    <sheet name="Corrections2" sheetId="4" r:id="rId5"/>
    <sheet name="Refined params" sheetId="6" r:id="rId6"/>
    <sheet name="Refined Krxn_calc" sheetId="7" r:id="rId7"/>
  </sheets>
  <definedNames>
    <definedName name="solver_adj" localSheetId="1" hidden="1">'Original params'!$F$14:$G$14,'Original params'!$F$18:$G$18,'Original params'!$F$21:$G$21,'Original params'!$F$20:$G$20</definedName>
    <definedName name="solver_adj" localSheetId="5" hidden="1">'Refined params'!$F$14:$G$14,'Refined params'!$F$18:$G$18,'Refined params'!$F$21:$G$21,'Refined params'!$F$20:$G$20</definedName>
    <definedName name="solver_cvg" localSheetId="2" hidden="1">0.0001</definedName>
    <definedName name="solver_cvg" localSheetId="1" hidden="1">0.0001</definedName>
    <definedName name="solver_cvg" localSheetId="6" hidden="1">0.0001</definedName>
    <definedName name="solver_cvg" localSheetId="5" hidden="1">0.0001</definedName>
    <definedName name="solver_drv" localSheetId="2" hidden="1">1</definedName>
    <definedName name="solver_drv" localSheetId="1" hidden="1">1</definedName>
    <definedName name="solver_drv" localSheetId="6" hidden="1">1</definedName>
    <definedName name="solver_drv" localSheetId="5" hidden="1">1</definedName>
    <definedName name="solver_eng" localSheetId="2" hidden="1">1</definedName>
    <definedName name="solver_eng" localSheetId="1" hidden="1">3</definedName>
    <definedName name="solver_eng" localSheetId="6" hidden="1">1</definedName>
    <definedName name="solver_eng" localSheetId="5" hidden="1">3</definedName>
    <definedName name="solver_est" localSheetId="2" hidden="1">1</definedName>
    <definedName name="solver_est" localSheetId="1" hidden="1">1</definedName>
    <definedName name="solver_est" localSheetId="6" hidden="1">1</definedName>
    <definedName name="solver_est" localSheetId="5" hidden="1">1</definedName>
    <definedName name="solver_itr" localSheetId="2" hidden="1">2147483647</definedName>
    <definedName name="solver_itr" localSheetId="1" hidden="1">2147483647</definedName>
    <definedName name="solver_itr" localSheetId="6" hidden="1">2147483647</definedName>
    <definedName name="solver_itr" localSheetId="5" hidden="1">2147483647</definedName>
    <definedName name="solver_lhs1" localSheetId="1" hidden="1">'Original params'!$F$14:$G$14</definedName>
    <definedName name="solver_lhs1" localSheetId="5" hidden="1">'Refined params'!$F$14:$G$14</definedName>
    <definedName name="solver_lhs2" localSheetId="1" hidden="1">'Original params'!$F$14:$G$14</definedName>
    <definedName name="solver_lhs2" localSheetId="5" hidden="1">'Refined params'!$F$14:$G$14</definedName>
    <definedName name="solver_lhs3" localSheetId="1" hidden="1">'Original params'!$F$18:$G$18</definedName>
    <definedName name="solver_lhs3" localSheetId="5" hidden="1">'Refined params'!$F$18:$G$18</definedName>
    <definedName name="solver_lhs4" localSheetId="1" hidden="1">'Original params'!$F$18:$G$18</definedName>
    <definedName name="solver_lhs4" localSheetId="5" hidden="1">'Refined params'!$F$18:$G$18</definedName>
    <definedName name="solver_lhs5" localSheetId="1" hidden="1">'Original params'!$F$20:$G$20</definedName>
    <definedName name="solver_lhs5" localSheetId="5" hidden="1">'Refined params'!$F$20:$G$20</definedName>
    <definedName name="solver_lhs6" localSheetId="1" hidden="1">'Original params'!$F$20:$G$20</definedName>
    <definedName name="solver_lhs6" localSheetId="5" hidden="1">'Refined params'!$F$20:$G$20</definedName>
    <definedName name="solver_lhs7" localSheetId="1" hidden="1">'Original params'!$F$21:$G$21</definedName>
    <definedName name="solver_lhs7" localSheetId="5" hidden="1">'Refined params'!$F$21:$G$21</definedName>
    <definedName name="solver_lhs8" localSheetId="1" hidden="1">'Original params'!$F$21:$G$21</definedName>
    <definedName name="solver_lhs8" localSheetId="5" hidden="1">'Refined params'!$F$21:$G$21</definedName>
    <definedName name="solver_mip" localSheetId="2" hidden="1">2147483647</definedName>
    <definedName name="solver_mip" localSheetId="1" hidden="1">2147483647</definedName>
    <definedName name="solver_mip" localSheetId="6" hidden="1">2147483647</definedName>
    <definedName name="solver_mip" localSheetId="5" hidden="1">2147483647</definedName>
    <definedName name="solver_mni" localSheetId="2" hidden="1">30</definedName>
    <definedName name="solver_mni" localSheetId="1" hidden="1">30</definedName>
    <definedName name="solver_mni" localSheetId="6" hidden="1">30</definedName>
    <definedName name="solver_mni" localSheetId="5" hidden="1">30</definedName>
    <definedName name="solver_mrt" localSheetId="2" hidden="1">0.075</definedName>
    <definedName name="solver_mrt" localSheetId="1" hidden="1">0.075</definedName>
    <definedName name="solver_mrt" localSheetId="6" hidden="1">0.075</definedName>
    <definedName name="solver_mrt" localSheetId="5" hidden="1">0.075</definedName>
    <definedName name="solver_msl" localSheetId="2" hidden="1">2</definedName>
    <definedName name="solver_msl" localSheetId="1" hidden="1">2</definedName>
    <definedName name="solver_msl" localSheetId="6" hidden="1">2</definedName>
    <definedName name="solver_msl" localSheetId="5" hidden="1">2</definedName>
    <definedName name="solver_neg" localSheetId="2" hidden="1">1</definedName>
    <definedName name="solver_neg" localSheetId="1" hidden="1">1</definedName>
    <definedName name="solver_neg" localSheetId="6" hidden="1">1</definedName>
    <definedName name="solver_neg" localSheetId="5" hidden="1">1</definedName>
    <definedName name="solver_nod" localSheetId="2" hidden="1">2147483647</definedName>
    <definedName name="solver_nod" localSheetId="1" hidden="1">2147483647</definedName>
    <definedName name="solver_nod" localSheetId="6" hidden="1">2147483647</definedName>
    <definedName name="solver_nod" localSheetId="5" hidden="1">2147483647</definedName>
    <definedName name="solver_num" localSheetId="2" hidden="1">0</definedName>
    <definedName name="solver_num" localSheetId="1" hidden="1">8</definedName>
    <definedName name="solver_num" localSheetId="6" hidden="1">0</definedName>
    <definedName name="solver_num" localSheetId="5" hidden="1">8</definedName>
    <definedName name="solver_nwt" localSheetId="2" hidden="1">1</definedName>
    <definedName name="solver_nwt" localSheetId="1" hidden="1">1</definedName>
    <definedName name="solver_nwt" localSheetId="6" hidden="1">1</definedName>
    <definedName name="solver_nwt" localSheetId="5" hidden="1">1</definedName>
    <definedName name="solver_opt" localSheetId="2" hidden="1">'Initial Krxn_calc'!$I$27</definedName>
    <definedName name="solver_opt" localSheetId="1" hidden="1">'Original params'!$K$30</definedName>
    <definedName name="solver_opt" localSheetId="6" hidden="1">'Refined Krxn_calc'!$I$27</definedName>
    <definedName name="solver_opt" localSheetId="5" hidden="1">'Refined params'!$J$30</definedName>
    <definedName name="solver_pre" localSheetId="2" hidden="1">0.000001</definedName>
    <definedName name="solver_pre" localSheetId="1" hidden="1">0.000001</definedName>
    <definedName name="solver_pre" localSheetId="6" hidden="1">0.000001</definedName>
    <definedName name="solver_pre" localSheetId="5" hidden="1">0.000001</definedName>
    <definedName name="solver_rbv" localSheetId="2" hidden="1">1</definedName>
    <definedName name="solver_rbv" localSheetId="1" hidden="1">2</definedName>
    <definedName name="solver_rbv" localSheetId="6" hidden="1">1</definedName>
    <definedName name="solver_rbv" localSheetId="5" hidden="1">2</definedName>
    <definedName name="solver_rel1" localSheetId="1" hidden="1">1</definedName>
    <definedName name="solver_rel1" localSheetId="5" hidden="1">1</definedName>
    <definedName name="solver_rel2" localSheetId="1" hidden="1">3</definedName>
    <definedName name="solver_rel2" localSheetId="5" hidden="1">3</definedName>
    <definedName name="solver_rel3" localSheetId="1" hidden="1">1</definedName>
    <definedName name="solver_rel3" localSheetId="5" hidden="1">1</definedName>
    <definedName name="solver_rel4" localSheetId="1" hidden="1">3</definedName>
    <definedName name="solver_rel4" localSheetId="5" hidden="1">3</definedName>
    <definedName name="solver_rel5" localSheetId="1" hidden="1">1</definedName>
    <definedName name="solver_rel5" localSheetId="5" hidden="1">1</definedName>
    <definedName name="solver_rel6" localSheetId="1" hidden="1">3</definedName>
    <definedName name="solver_rel6" localSheetId="5" hidden="1">3</definedName>
    <definedName name="solver_rel7" localSheetId="1" hidden="1">1</definedName>
    <definedName name="solver_rel7" localSheetId="5" hidden="1">1</definedName>
    <definedName name="solver_rel8" localSheetId="1" hidden="1">3</definedName>
    <definedName name="solver_rel8" localSheetId="5" hidden="1">3</definedName>
    <definedName name="solver_rhs1" localSheetId="1" hidden="1">3</definedName>
    <definedName name="solver_rhs1" localSheetId="5" hidden="1">3</definedName>
    <definedName name="solver_rhs2" localSheetId="1" hidden="1">0</definedName>
    <definedName name="solver_rhs2" localSheetId="5" hidden="1">0</definedName>
    <definedName name="solver_rhs3" localSheetId="1" hidden="1">2</definedName>
    <definedName name="solver_rhs3" localSheetId="5" hidden="1">2</definedName>
    <definedName name="solver_rhs4" localSheetId="1" hidden="1">0</definedName>
    <definedName name="solver_rhs4" localSheetId="5" hidden="1">0</definedName>
    <definedName name="solver_rhs5" localSheetId="1" hidden="1">2</definedName>
    <definedName name="solver_rhs5" localSheetId="5" hidden="1">2</definedName>
    <definedName name="solver_rhs6" localSheetId="1" hidden="1">0</definedName>
    <definedName name="solver_rhs6" localSheetId="5" hidden="1">0</definedName>
    <definedName name="solver_rhs7" localSheetId="1" hidden="1">3</definedName>
    <definedName name="solver_rhs7" localSheetId="5" hidden="1">3</definedName>
    <definedName name="solver_rhs8" localSheetId="1" hidden="1">0</definedName>
    <definedName name="solver_rhs8" localSheetId="5" hidden="1">0</definedName>
    <definedName name="solver_rlx" localSheetId="2" hidden="1">2</definedName>
    <definedName name="solver_rlx" localSheetId="1" hidden="1">2</definedName>
    <definedName name="solver_rlx" localSheetId="6" hidden="1">2</definedName>
    <definedName name="solver_rlx" localSheetId="5" hidden="1">2</definedName>
    <definedName name="solver_rsd" localSheetId="2" hidden="1">0</definedName>
    <definedName name="solver_rsd" localSheetId="1" hidden="1">0</definedName>
    <definedName name="solver_rsd" localSheetId="6" hidden="1">0</definedName>
    <definedName name="solver_rsd" localSheetId="5" hidden="1">0</definedName>
    <definedName name="solver_scl" localSheetId="2" hidden="1">1</definedName>
    <definedName name="solver_scl" localSheetId="1" hidden="1">1</definedName>
    <definedName name="solver_scl" localSheetId="6" hidden="1">1</definedName>
    <definedName name="solver_scl" localSheetId="5" hidden="1">1</definedName>
    <definedName name="solver_sho" localSheetId="2" hidden="1">2</definedName>
    <definedName name="solver_sho" localSheetId="1" hidden="1">2</definedName>
    <definedName name="solver_sho" localSheetId="6" hidden="1">2</definedName>
    <definedName name="solver_sho" localSheetId="5" hidden="1">2</definedName>
    <definedName name="solver_ssz" localSheetId="2" hidden="1">100</definedName>
    <definedName name="solver_ssz" localSheetId="1" hidden="1">100</definedName>
    <definedName name="solver_ssz" localSheetId="6" hidden="1">100</definedName>
    <definedName name="solver_ssz" localSheetId="5" hidden="1">100</definedName>
    <definedName name="solver_tim" localSheetId="2" hidden="1">2147483647</definedName>
    <definedName name="solver_tim" localSheetId="1" hidden="1">2147483647</definedName>
    <definedName name="solver_tim" localSheetId="6" hidden="1">2147483647</definedName>
    <definedName name="solver_tim" localSheetId="5" hidden="1">2147483647</definedName>
    <definedName name="solver_tol" localSheetId="2" hidden="1">0.01</definedName>
    <definedName name="solver_tol" localSheetId="1" hidden="1">0.01</definedName>
    <definedName name="solver_tol" localSheetId="6" hidden="1">0.01</definedName>
    <definedName name="solver_tol" localSheetId="5" hidden="1">0.01</definedName>
    <definedName name="solver_typ" localSheetId="2" hidden="1">3</definedName>
    <definedName name="solver_typ" localSheetId="1" hidden="1">2</definedName>
    <definedName name="solver_typ" localSheetId="6" hidden="1">3</definedName>
    <definedName name="solver_typ" localSheetId="5" hidden="1">2</definedName>
    <definedName name="solver_val" localSheetId="2" hidden="1">5E+30</definedName>
    <definedName name="solver_val" localSheetId="1" hidden="1">10</definedName>
    <definedName name="solver_val" localSheetId="6" hidden="1">5E+30</definedName>
    <definedName name="solver_val" localSheetId="5" hidden="1">10</definedName>
    <definedName name="solver_ver" localSheetId="2" hidden="1">3</definedName>
    <definedName name="solver_ver" localSheetId="1" hidden="1">3</definedName>
    <definedName name="solver_ver" localSheetId="6" hidden="1">3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7" l="1"/>
  <c r="Q15" i="7"/>
  <c r="P13" i="3"/>
  <c r="F9" i="6"/>
  <c r="O19" i="6"/>
  <c r="O18" i="6"/>
  <c r="J20" i="7"/>
  <c r="P14" i="7"/>
  <c r="P13" i="7"/>
  <c r="Q14" i="7"/>
  <c r="Q13" i="7"/>
  <c r="R16" i="3"/>
  <c r="S16" i="3" s="1"/>
  <c r="Q16" i="3"/>
  <c r="P16" i="3"/>
  <c r="R15" i="3"/>
  <c r="S15" i="3" s="1"/>
  <c r="Q15" i="3"/>
  <c r="P15" i="3"/>
  <c r="R14" i="3"/>
  <c r="S14" i="3" s="1"/>
  <c r="Q14" i="3"/>
  <c r="P14" i="3"/>
  <c r="R13" i="3"/>
  <c r="S13" i="3" s="1"/>
  <c r="Q13" i="3"/>
  <c r="S16" i="7"/>
  <c r="R16" i="7"/>
  <c r="R15" i="7"/>
  <c r="R13" i="7"/>
  <c r="R14" i="7"/>
  <c r="P16" i="7"/>
  <c r="P15" i="7"/>
  <c r="O9" i="6"/>
  <c r="K9" i="6"/>
  <c r="M9" i="6" s="1"/>
  <c r="M14" i="7"/>
  <c r="M16" i="7"/>
  <c r="K4" i="7"/>
  <c r="L4" i="7"/>
  <c r="M4" i="7"/>
  <c r="N4" i="7"/>
  <c r="L3" i="7"/>
  <c r="M3" i="7"/>
  <c r="N3" i="7"/>
  <c r="K3" i="7"/>
  <c r="G4" i="7"/>
  <c r="G5" i="7"/>
  <c r="G6" i="7"/>
  <c r="G7" i="7"/>
  <c r="M17" i="7" s="1"/>
  <c r="G3" i="7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R5" i="4"/>
  <c r="O5" i="4"/>
  <c r="L5" i="4"/>
  <c r="O20" i="2"/>
  <c r="L6" i="4"/>
  <c r="M6" i="4" s="1"/>
  <c r="N6" i="4" s="1"/>
  <c r="L7" i="4"/>
  <c r="M7" i="4" s="1"/>
  <c r="N7" i="4" s="1"/>
  <c r="L8" i="4"/>
  <c r="M8" i="4"/>
  <c r="N8" i="4"/>
  <c r="L9" i="4"/>
  <c r="M9" i="4" s="1"/>
  <c r="N9" i="4" s="1"/>
  <c r="L10" i="4"/>
  <c r="M10" i="4" s="1"/>
  <c r="L11" i="4"/>
  <c r="M11" i="4" s="1"/>
  <c r="N11" i="4" s="1"/>
  <c r="L12" i="4"/>
  <c r="M12" i="4"/>
  <c r="N12" i="4" s="1"/>
  <c r="L13" i="4"/>
  <c r="M13" i="4"/>
  <c r="N13" i="4" s="1"/>
  <c r="L14" i="4"/>
  <c r="M14" i="4" s="1"/>
  <c r="L15" i="4"/>
  <c r="M15" i="4" s="1"/>
  <c r="N15" i="4" s="1"/>
  <c r="L16" i="4"/>
  <c r="M16" i="4" s="1"/>
  <c r="N16" i="4" s="1"/>
  <c r="L17" i="4"/>
  <c r="M17" i="4" s="1"/>
  <c r="N17" i="4" s="1"/>
  <c r="L18" i="4"/>
  <c r="M18" i="4" s="1"/>
  <c r="N18" i="4" s="1"/>
  <c r="L19" i="4"/>
  <c r="M19" i="4" s="1"/>
  <c r="N19" i="4" s="1"/>
  <c r="L20" i="4"/>
  <c r="M20" i="4"/>
  <c r="N20" i="4"/>
  <c r="L21" i="4"/>
  <c r="M21" i="4" s="1"/>
  <c r="N21" i="4" s="1"/>
  <c r="N9" i="6" l="1"/>
  <c r="J10" i="7"/>
  <c r="M15" i="7"/>
  <c r="M11" i="7"/>
  <c r="M22" i="7"/>
  <c r="M24" i="7"/>
  <c r="M21" i="7"/>
  <c r="M10" i="7"/>
  <c r="M13" i="7"/>
  <c r="M25" i="7"/>
  <c r="M20" i="7"/>
  <c r="M19" i="7"/>
  <c r="M18" i="7"/>
  <c r="M12" i="7"/>
  <c r="M26" i="7"/>
  <c r="K10" i="7"/>
  <c r="M23" i="7"/>
  <c r="M5" i="8" l="1"/>
  <c r="O16" i="8"/>
  <c r="O14" i="8"/>
  <c r="O18" i="8" s="1"/>
  <c r="L6" i="8"/>
  <c r="M6" i="8"/>
  <c r="L7" i="8"/>
  <c r="M7" i="8"/>
  <c r="L8" i="8"/>
  <c r="M8" i="8"/>
  <c r="L9" i="8"/>
  <c r="M9" i="8"/>
  <c r="O7" i="8" s="1"/>
  <c r="L5" i="8"/>
  <c r="M14" i="8"/>
  <c r="M15" i="8"/>
  <c r="M16" i="8"/>
  <c r="M17" i="8"/>
  <c r="M18" i="8"/>
  <c r="L15" i="8"/>
  <c r="L16" i="8"/>
  <c r="L17" i="8"/>
  <c r="L18" i="8"/>
  <c r="P14" i="8" s="1"/>
  <c r="L14" i="8"/>
  <c r="I11" i="8"/>
  <c r="L23" i="8" s="1"/>
  <c r="O5" i="8" l="1"/>
  <c r="P16" i="8"/>
  <c r="P7" i="8"/>
  <c r="P18" i="8"/>
  <c r="O9" i="8"/>
  <c r="P5" i="8"/>
  <c r="P9" i="8" s="1"/>
  <c r="M25" i="8"/>
  <c r="M26" i="8"/>
  <c r="L27" i="8"/>
  <c r="L26" i="8"/>
  <c r="L25" i="8"/>
  <c r="M23" i="8"/>
  <c r="L24" i="8"/>
  <c r="M24" i="8"/>
  <c r="M27" i="8"/>
  <c r="O25" i="8" l="1"/>
  <c r="P25" i="8"/>
  <c r="P23" i="8"/>
  <c r="O23" i="8"/>
  <c r="O22" i="2"/>
  <c r="F23" i="2"/>
  <c r="G23" i="2" s="1"/>
  <c r="P27" i="8" l="1"/>
  <c r="P28" i="8" s="1"/>
  <c r="M4" i="3"/>
  <c r="O27" i="8"/>
  <c r="O28" i="8" s="1"/>
  <c r="N3" i="3" s="1"/>
  <c r="M3" i="3"/>
  <c r="O23" i="2"/>
  <c r="I9" i="2"/>
  <c r="I20" i="2" s="1"/>
  <c r="H9" i="2"/>
  <c r="J9" i="2" s="1"/>
  <c r="H20" i="2" l="1"/>
  <c r="N4" i="3"/>
  <c r="J18" i="2" l="1"/>
  <c r="I18" i="2"/>
  <c r="I23" i="2"/>
  <c r="O21" i="2"/>
  <c r="H3" i="6"/>
  <c r="G10" i="2"/>
  <c r="C11" i="7" l="1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D10" i="7"/>
  <c r="C10" i="7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9" i="6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5" i="4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10" i="3"/>
  <c r="G9" i="4" l="1"/>
  <c r="G6" i="4"/>
  <c r="O10" i="4" l="1"/>
  <c r="O11" i="4"/>
  <c r="P10" i="4"/>
  <c r="G14" i="6" s="1"/>
  <c r="P14" i="4"/>
  <c r="P8" i="4"/>
  <c r="O12" i="4"/>
  <c r="F16" i="6" s="1"/>
  <c r="P5" i="4"/>
  <c r="G9" i="6" s="1"/>
  <c r="O17" i="4"/>
  <c r="O21" i="4"/>
  <c r="T21" i="4" s="1"/>
  <c r="O19" i="4"/>
  <c r="F23" i="6" s="1"/>
  <c r="O9" i="4"/>
  <c r="F13" i="6" s="1"/>
  <c r="O15" i="4"/>
  <c r="O8" i="4"/>
  <c r="O7" i="4"/>
  <c r="F11" i="6" s="1"/>
  <c r="O20" i="4"/>
  <c r="O18" i="4"/>
  <c r="F22" i="6" s="1"/>
  <c r="P16" i="4"/>
  <c r="G20" i="6" s="1"/>
  <c r="P18" i="4"/>
  <c r="P21" i="4"/>
  <c r="G25" i="6" s="1"/>
  <c r="P9" i="4"/>
  <c r="P20" i="4"/>
  <c r="G24" i="6" s="1"/>
  <c r="P15" i="4"/>
  <c r="G19" i="6" s="1"/>
  <c r="O16" i="4"/>
  <c r="P19" i="4"/>
  <c r="G23" i="6" s="1"/>
  <c r="P6" i="4"/>
  <c r="P12" i="4"/>
  <c r="G16" i="6" s="1"/>
  <c r="P17" i="4"/>
  <c r="G21" i="6" s="1"/>
  <c r="P7" i="4"/>
  <c r="O6" i="4"/>
  <c r="O14" i="4"/>
  <c r="T14" i="4" s="1"/>
  <c r="O13" i="4"/>
  <c r="P13" i="4"/>
  <c r="P11" i="4"/>
  <c r="G15" i="6" s="1"/>
  <c r="F15" i="6"/>
  <c r="G18" i="6"/>
  <c r="H4" i="6"/>
  <c r="K3" i="6"/>
  <c r="K2" i="6"/>
  <c r="T6" i="4" l="1"/>
  <c r="F10" i="6"/>
  <c r="T8" i="4"/>
  <c r="F18" i="6"/>
  <c r="T12" i="4"/>
  <c r="T5" i="4"/>
  <c r="T13" i="4"/>
  <c r="T16" i="4"/>
  <c r="F17" i="6"/>
  <c r="F21" i="6"/>
  <c r="T17" i="4"/>
  <c r="T18" i="4"/>
  <c r="T15" i="4"/>
  <c r="F20" i="6"/>
  <c r="F24" i="6"/>
  <c r="T20" i="4"/>
  <c r="F12" i="6"/>
  <c r="F25" i="6"/>
  <c r="T9" i="4"/>
  <c r="F19" i="6"/>
  <c r="F14" i="6"/>
  <c r="T10" i="4"/>
  <c r="T11" i="4"/>
  <c r="T7" i="4"/>
  <c r="T19" i="4"/>
  <c r="H2" i="6"/>
  <c r="J20" i="2"/>
  <c r="O15" i="6"/>
  <c r="O23" i="6"/>
  <c r="O16" i="6"/>
  <c r="K17" i="7" s="1"/>
  <c r="G4" i="3"/>
  <c r="L3" i="3" s="1"/>
  <c r="G7" i="3"/>
  <c r="L2" i="2"/>
  <c r="L3" i="2"/>
  <c r="I4" i="2"/>
  <c r="O9" i="2"/>
  <c r="G10" i="6"/>
  <c r="H10" i="2"/>
  <c r="G11" i="2"/>
  <c r="H11" i="2"/>
  <c r="G12" i="2"/>
  <c r="H12" i="2"/>
  <c r="G13" i="2"/>
  <c r="H13" i="2"/>
  <c r="J13" i="2" s="1"/>
  <c r="O14" i="2"/>
  <c r="H15" i="2"/>
  <c r="O15" i="2"/>
  <c r="H16" i="2"/>
  <c r="I16" i="2"/>
  <c r="G17" i="2"/>
  <c r="H17" i="2"/>
  <c r="O18" i="2"/>
  <c r="H19" i="2"/>
  <c r="I19" i="2"/>
  <c r="O19" i="2"/>
  <c r="O24" i="2"/>
  <c r="O25" i="2"/>
  <c r="K9" i="2" l="1"/>
  <c r="I2" i="2"/>
  <c r="K10" i="3"/>
  <c r="Q14" i="8"/>
  <c r="R14" i="8"/>
  <c r="Q23" i="8"/>
  <c r="R23" i="8"/>
  <c r="O14" i="6"/>
  <c r="K15" i="7" s="1"/>
  <c r="G12" i="6"/>
  <c r="K19" i="7"/>
  <c r="L4" i="3"/>
  <c r="K21" i="3"/>
  <c r="L18" i="2"/>
  <c r="O20" i="6"/>
  <c r="O24" i="6"/>
  <c r="K25" i="7" s="1"/>
  <c r="O21" i="6"/>
  <c r="O25" i="6"/>
  <c r="K26" i="7" s="1"/>
  <c r="K16" i="7"/>
  <c r="O10" i="6"/>
  <c r="K11" i="7" s="1"/>
  <c r="L13" i="2"/>
  <c r="O10" i="2"/>
  <c r="O12" i="2"/>
  <c r="O11" i="2"/>
  <c r="G11" i="6"/>
  <c r="O13" i="2"/>
  <c r="G13" i="6"/>
  <c r="G5" i="4"/>
  <c r="K4" i="9" s="1"/>
  <c r="J7" i="9" s="1"/>
  <c r="O17" i="2"/>
  <c r="G17" i="6"/>
  <c r="J12" i="2"/>
  <c r="L12" i="2" s="1"/>
  <c r="G6" i="3"/>
  <c r="G8" i="4"/>
  <c r="G5" i="3"/>
  <c r="G7" i="4"/>
  <c r="G22" i="6"/>
  <c r="K22" i="3"/>
  <c r="K20" i="3"/>
  <c r="K15" i="3"/>
  <c r="K25" i="3"/>
  <c r="K26" i="3"/>
  <c r="K24" i="3"/>
  <c r="K19" i="3"/>
  <c r="K16" i="3"/>
  <c r="K20" i="2"/>
  <c r="J10" i="2"/>
  <c r="L10" i="2" s="1"/>
  <c r="L20" i="2"/>
  <c r="J19" i="2"/>
  <c r="J15" i="2"/>
  <c r="L15" i="2" s="1"/>
  <c r="K13" i="2"/>
  <c r="K11" i="2"/>
  <c r="J11" i="2"/>
  <c r="L11" i="2" s="1"/>
  <c r="K24" i="7"/>
  <c r="K20" i="7"/>
  <c r="H18" i="2"/>
  <c r="J17" i="2"/>
  <c r="L17" i="2" s="1"/>
  <c r="K17" i="2"/>
  <c r="J16" i="2"/>
  <c r="L16" i="2" s="1"/>
  <c r="K16" i="2"/>
  <c r="O16" i="2"/>
  <c r="G3" i="3"/>
  <c r="I14" i="2"/>
  <c r="K19" i="2"/>
  <c r="K12" i="2"/>
  <c r="L19" i="2"/>
  <c r="K15" i="2"/>
  <c r="K10" i="2"/>
  <c r="O12" i="6" l="1"/>
  <c r="K13" i="7" s="1"/>
  <c r="H29" i="3"/>
  <c r="H32" i="3" s="1"/>
  <c r="K11" i="3"/>
  <c r="M13" i="2"/>
  <c r="J14" i="3" s="1"/>
  <c r="K13" i="3"/>
  <c r="K3" i="3"/>
  <c r="K12" i="3"/>
  <c r="F29" i="3" s="1"/>
  <c r="F32" i="3" s="1"/>
  <c r="K4" i="3"/>
  <c r="J22" i="2"/>
  <c r="H25" i="2"/>
  <c r="H22" i="2"/>
  <c r="I22" i="2" s="1"/>
  <c r="J25" i="2"/>
  <c r="H24" i="2"/>
  <c r="J21" i="2"/>
  <c r="H21" i="2"/>
  <c r="J13" i="9"/>
  <c r="Q11" i="4" s="1"/>
  <c r="R11" i="4" s="1"/>
  <c r="S11" i="4" s="1"/>
  <c r="K18" i="3"/>
  <c r="K14" i="3"/>
  <c r="K21" i="7"/>
  <c r="K22" i="7"/>
  <c r="J10" i="9"/>
  <c r="Q8" i="4" s="1"/>
  <c r="R8" i="4" s="1"/>
  <c r="S8" i="4" s="1"/>
  <c r="J8" i="9"/>
  <c r="Q6" i="4" s="1"/>
  <c r="R6" i="4" s="1"/>
  <c r="S6" i="4" s="1"/>
  <c r="J15" i="9"/>
  <c r="Q13" i="4" s="1"/>
  <c r="R13" i="4" s="1"/>
  <c r="S13" i="4" s="1"/>
  <c r="J12" i="9"/>
  <c r="Q10" i="4" s="1"/>
  <c r="J18" i="9"/>
  <c r="Q16" i="4" s="1"/>
  <c r="J16" i="9"/>
  <c r="Q14" i="4" s="1"/>
  <c r="R14" i="4" s="1"/>
  <c r="S14" i="4" s="1"/>
  <c r="J22" i="9"/>
  <c r="Q20" i="4" s="1"/>
  <c r="R20" i="4" s="1"/>
  <c r="S20" i="4" s="1"/>
  <c r="J14" i="9"/>
  <c r="Q12" i="4" s="1"/>
  <c r="R12" i="4" s="1"/>
  <c r="S12" i="4" s="1"/>
  <c r="J19" i="9"/>
  <c r="Q17" i="4" s="1"/>
  <c r="R17" i="4" s="1"/>
  <c r="S17" i="4" s="1"/>
  <c r="K23" i="3"/>
  <c r="I29" i="3" s="1"/>
  <c r="I32" i="3" s="1"/>
  <c r="L9" i="2"/>
  <c r="M9" i="2" s="1"/>
  <c r="N9" i="2" s="1"/>
  <c r="P9" i="2" s="1"/>
  <c r="O17" i="6"/>
  <c r="K18" i="7" s="1"/>
  <c r="O11" i="6"/>
  <c r="K12" i="7" s="1"/>
  <c r="O13" i="6"/>
  <c r="O22" i="6"/>
  <c r="H23" i="2"/>
  <c r="J14" i="2"/>
  <c r="L14" i="2" s="1"/>
  <c r="M20" i="2"/>
  <c r="J21" i="3" s="1"/>
  <c r="M10" i="2"/>
  <c r="J11" i="3" s="1"/>
  <c r="M11" i="2"/>
  <c r="J12" i="3" s="1"/>
  <c r="M15" i="2"/>
  <c r="J16" i="3" s="1"/>
  <c r="M17" i="2"/>
  <c r="K18" i="2"/>
  <c r="M18" i="2" s="1"/>
  <c r="J19" i="3" s="1"/>
  <c r="K17" i="3"/>
  <c r="M12" i="2"/>
  <c r="M19" i="2"/>
  <c r="M16" i="2"/>
  <c r="H29" i="7" l="1"/>
  <c r="H32" i="7" s="1"/>
  <c r="N13" i="2"/>
  <c r="M14" i="3" s="1"/>
  <c r="J9" i="9"/>
  <c r="Q7" i="4" s="1"/>
  <c r="R7" i="4" s="1"/>
  <c r="S7" i="4" s="1"/>
  <c r="I25" i="2"/>
  <c r="G29" i="3"/>
  <c r="G32" i="3" s="1"/>
  <c r="J20" i="9"/>
  <c r="Q18" i="4" s="1"/>
  <c r="J21" i="9"/>
  <c r="Q19" i="4" s="1"/>
  <c r="R19" i="4" s="1"/>
  <c r="S19" i="4" s="1"/>
  <c r="J11" i="9"/>
  <c r="Q9" i="4" s="1"/>
  <c r="R9" i="4" s="1"/>
  <c r="S9" i="4" s="1"/>
  <c r="J23" i="9"/>
  <c r="Q21" i="4" s="1"/>
  <c r="R21" i="4" s="1"/>
  <c r="S21" i="4" s="1"/>
  <c r="H22" i="6"/>
  <c r="K22" i="6" s="1"/>
  <c r="R18" i="4"/>
  <c r="S18" i="4" s="1"/>
  <c r="H25" i="6"/>
  <c r="K25" i="6" s="1"/>
  <c r="G29" i="7"/>
  <c r="G32" i="7" s="1"/>
  <c r="N10" i="2"/>
  <c r="P10" i="2" s="1"/>
  <c r="J17" i="9"/>
  <c r="Q15" i="4" s="1"/>
  <c r="R15" i="4" s="1"/>
  <c r="S15" i="4" s="1"/>
  <c r="K21" i="2"/>
  <c r="I21" i="2"/>
  <c r="J14" i="6"/>
  <c r="R10" i="4"/>
  <c r="S10" i="4" s="1"/>
  <c r="J21" i="6"/>
  <c r="L21" i="6" s="1"/>
  <c r="H21" i="6"/>
  <c r="H20" i="6"/>
  <c r="K20" i="6" s="1"/>
  <c r="J20" i="6"/>
  <c r="H16" i="6"/>
  <c r="J16" i="6"/>
  <c r="L16" i="6" s="1"/>
  <c r="H11" i="6"/>
  <c r="J11" i="6"/>
  <c r="L11" i="6" s="1"/>
  <c r="H13" i="6"/>
  <c r="H17" i="6"/>
  <c r="J17" i="6"/>
  <c r="L17" i="6" s="1"/>
  <c r="H15" i="6"/>
  <c r="J15" i="6"/>
  <c r="L15" i="6" s="1"/>
  <c r="R16" i="4"/>
  <c r="S16" i="4" s="1"/>
  <c r="H24" i="6"/>
  <c r="K24" i="6" s="1"/>
  <c r="H10" i="6"/>
  <c r="J10" i="6"/>
  <c r="L10" i="6" s="1"/>
  <c r="H18" i="6"/>
  <c r="J18" i="6"/>
  <c r="L18" i="6" s="1"/>
  <c r="J12" i="6"/>
  <c r="L12" i="6" s="1"/>
  <c r="H12" i="6"/>
  <c r="K14" i="7"/>
  <c r="F29" i="7" s="1"/>
  <c r="F32" i="7" s="1"/>
  <c r="N20" i="2"/>
  <c r="P20" i="2" s="1"/>
  <c r="Q20" i="2" s="1"/>
  <c r="K23" i="7"/>
  <c r="N15" i="2"/>
  <c r="M16" i="3" s="1"/>
  <c r="N18" i="2"/>
  <c r="M19" i="3" s="1"/>
  <c r="N11" i="2"/>
  <c r="M12" i="3" s="1"/>
  <c r="L21" i="2"/>
  <c r="H14" i="2"/>
  <c r="H14" i="6" s="1"/>
  <c r="I14" i="6" s="1"/>
  <c r="J18" i="3"/>
  <c r="N17" i="2"/>
  <c r="P13" i="2"/>
  <c r="M21" i="3"/>
  <c r="J13" i="3"/>
  <c r="N12" i="2"/>
  <c r="J10" i="3"/>
  <c r="K22" i="2"/>
  <c r="J17" i="3"/>
  <c r="N16" i="2"/>
  <c r="J24" i="2"/>
  <c r="L24" i="2" s="1"/>
  <c r="K24" i="2"/>
  <c r="N19" i="2"/>
  <c r="J20" i="3"/>
  <c r="K25" i="2"/>
  <c r="J23" i="2"/>
  <c r="L23" i="2" s="1"/>
  <c r="K23" i="2"/>
  <c r="Q5" i="4" l="1"/>
  <c r="S5" i="4" s="1"/>
  <c r="J13" i="6"/>
  <c r="L13" i="6" s="1"/>
  <c r="J9" i="6"/>
  <c r="L9" i="6" s="1"/>
  <c r="P15" i="2"/>
  <c r="H23" i="6"/>
  <c r="L21" i="3"/>
  <c r="J19" i="6"/>
  <c r="L19" i="6" s="1"/>
  <c r="M11" i="3"/>
  <c r="P18" i="2"/>
  <c r="Q18" i="2" s="1"/>
  <c r="H9" i="6"/>
  <c r="I18" i="6"/>
  <c r="L11" i="3"/>
  <c r="Q10" i="2"/>
  <c r="L16" i="3"/>
  <c r="Q15" i="2"/>
  <c r="J24" i="6"/>
  <c r="L24" i="6" s="1"/>
  <c r="M24" i="6" s="1"/>
  <c r="L14" i="3"/>
  <c r="Q13" i="2"/>
  <c r="J23" i="6"/>
  <c r="L23" i="6" s="1"/>
  <c r="H19" i="6"/>
  <c r="K19" i="6" s="1"/>
  <c r="I21" i="6"/>
  <c r="K21" i="6"/>
  <c r="M21" i="6" s="1"/>
  <c r="I11" i="6"/>
  <c r="K11" i="6"/>
  <c r="M11" i="6" s="1"/>
  <c r="I10" i="6"/>
  <c r="K10" i="6"/>
  <c r="M10" i="6" s="1"/>
  <c r="J11" i="7" s="1"/>
  <c r="I12" i="6"/>
  <c r="K12" i="6"/>
  <c r="M12" i="6" s="1"/>
  <c r="I20" i="6"/>
  <c r="L20" i="6"/>
  <c r="M20" i="6" s="1"/>
  <c r="I16" i="6"/>
  <c r="K16" i="6"/>
  <c r="M16" i="6" s="1"/>
  <c r="I15" i="6"/>
  <c r="K15" i="6"/>
  <c r="M15" i="6" s="1"/>
  <c r="K18" i="6"/>
  <c r="M18" i="6" s="1"/>
  <c r="I17" i="6"/>
  <c r="K17" i="6"/>
  <c r="M17" i="6" s="1"/>
  <c r="K23" i="6"/>
  <c r="I13" i="6"/>
  <c r="K13" i="6"/>
  <c r="M13" i="6" s="1"/>
  <c r="J14" i="7" s="1"/>
  <c r="L25" i="2"/>
  <c r="M25" i="2" s="1"/>
  <c r="J26" i="3" s="1"/>
  <c r="J25" i="6"/>
  <c r="L22" i="2"/>
  <c r="M22" i="2" s="1"/>
  <c r="J22" i="6"/>
  <c r="M10" i="3"/>
  <c r="I29" i="7"/>
  <c r="M21" i="2"/>
  <c r="N21" i="2" s="1"/>
  <c r="P21" i="2" s="1"/>
  <c r="Q21" i="2" s="1"/>
  <c r="P11" i="2"/>
  <c r="M23" i="2"/>
  <c r="J24" i="3" s="1"/>
  <c r="K14" i="2"/>
  <c r="M14" i="2" s="1"/>
  <c r="M18" i="3"/>
  <c r="P17" i="2"/>
  <c r="M24" i="2"/>
  <c r="J25" i="3" s="1"/>
  <c r="M20" i="3"/>
  <c r="P19" i="2"/>
  <c r="M13" i="3"/>
  <c r="P12" i="2"/>
  <c r="M17" i="3"/>
  <c r="P16" i="2"/>
  <c r="L19" i="3"/>
  <c r="M19" i="6" l="1"/>
  <c r="I24" i="6"/>
  <c r="I9" i="6"/>
  <c r="L12" i="3"/>
  <c r="Q11" i="2"/>
  <c r="L17" i="3"/>
  <c r="Q16" i="2"/>
  <c r="L13" i="3"/>
  <c r="Q12" i="2"/>
  <c r="I19" i="6"/>
  <c r="L18" i="3"/>
  <c r="Q17" i="2"/>
  <c r="M23" i="6"/>
  <c r="N23" i="6" s="1"/>
  <c r="I23" i="6"/>
  <c r="P9" i="6"/>
  <c r="N10" i="6"/>
  <c r="J21" i="7"/>
  <c r="N20" i="6"/>
  <c r="J18" i="7"/>
  <c r="N17" i="6"/>
  <c r="N11" i="6"/>
  <c r="J12" i="7"/>
  <c r="N19" i="6"/>
  <c r="N15" i="6"/>
  <c r="J16" i="7"/>
  <c r="N12" i="6"/>
  <c r="J13" i="7"/>
  <c r="J22" i="7"/>
  <c r="N21" i="6"/>
  <c r="N13" i="6"/>
  <c r="N16" i="6"/>
  <c r="J17" i="7"/>
  <c r="I25" i="6"/>
  <c r="L25" i="6"/>
  <c r="M25" i="6" s="1"/>
  <c r="N25" i="6" s="1"/>
  <c r="I22" i="6"/>
  <c r="L22" i="6"/>
  <c r="M22" i="6" s="1"/>
  <c r="L20" i="3"/>
  <c r="Q19" i="2"/>
  <c r="L10" i="3"/>
  <c r="Q9" i="2"/>
  <c r="I32" i="7"/>
  <c r="L22" i="3"/>
  <c r="M22" i="3"/>
  <c r="J22" i="3"/>
  <c r="N23" i="2"/>
  <c r="M24" i="3" s="1"/>
  <c r="N25" i="2"/>
  <c r="M26" i="3" s="1"/>
  <c r="J15" i="3"/>
  <c r="N14" i="2"/>
  <c r="N24" i="6"/>
  <c r="J25" i="7"/>
  <c r="N18" i="6"/>
  <c r="J19" i="7"/>
  <c r="N24" i="2"/>
  <c r="P24" i="2" s="1"/>
  <c r="Q24" i="2" s="1"/>
  <c r="J23" i="3"/>
  <c r="N22" i="2"/>
  <c r="J24" i="7" l="1"/>
  <c r="P13" i="6"/>
  <c r="L14" i="7" s="1"/>
  <c r="P10" i="6"/>
  <c r="L11" i="7" s="1"/>
  <c r="P21" i="6"/>
  <c r="P17" i="6"/>
  <c r="P15" i="6"/>
  <c r="P20" i="6"/>
  <c r="P11" i="6"/>
  <c r="P12" i="6"/>
  <c r="P16" i="6"/>
  <c r="P19" i="6"/>
  <c r="J23" i="7"/>
  <c r="P25" i="6"/>
  <c r="L26" i="7" s="1"/>
  <c r="N22" i="6"/>
  <c r="P22" i="6" s="1"/>
  <c r="L23" i="7" s="1"/>
  <c r="J26" i="7"/>
  <c r="F27" i="3"/>
  <c r="F28" i="3" s="1"/>
  <c r="F31" i="3" s="1"/>
  <c r="L25" i="3"/>
  <c r="L10" i="7"/>
  <c r="P25" i="2"/>
  <c r="Q25" i="2" s="1"/>
  <c r="P23" i="2"/>
  <c r="M15" i="3"/>
  <c r="P14" i="2"/>
  <c r="P23" i="6"/>
  <c r="P18" i="6"/>
  <c r="P24" i="6"/>
  <c r="M25" i="3"/>
  <c r="M23" i="3"/>
  <c r="P22" i="2"/>
  <c r="Q22" i="2" s="1"/>
  <c r="H27" i="3" a="1"/>
  <c r="H28" i="3" s="1"/>
  <c r="H31" i="3" s="1"/>
  <c r="I27" i="3" a="1"/>
  <c r="I28" i="3" s="1"/>
  <c r="I31" i="3" s="1"/>
  <c r="G27" i="3" a="1"/>
  <c r="G28" i="3" s="1"/>
  <c r="G31" i="3" s="1"/>
  <c r="L15" i="3" l="1"/>
  <c r="Q14" i="2"/>
  <c r="L17" i="7"/>
  <c r="L13" i="7"/>
  <c r="L21" i="7"/>
  <c r="L20" i="7"/>
  <c r="L16" i="7"/>
  <c r="L18" i="7"/>
  <c r="L12" i="7"/>
  <c r="L22" i="7"/>
  <c r="S14" i="7" s="1"/>
  <c r="L24" i="3"/>
  <c r="Q23" i="2"/>
  <c r="L26" i="3"/>
  <c r="L23" i="3"/>
  <c r="L25" i="7"/>
  <c r="L19" i="7"/>
  <c r="L24" i="7"/>
  <c r="S15" i="7" l="1"/>
  <c r="S13" i="7"/>
  <c r="H30" i="3"/>
  <c r="H33" i="3" s="1"/>
  <c r="H34" i="3" s="1"/>
  <c r="G30" i="3"/>
  <c r="G33" i="3" s="1"/>
  <c r="G34" i="3" s="1"/>
  <c r="F30" i="3"/>
  <c r="F33" i="3" s="1"/>
  <c r="F34" i="3" s="1"/>
  <c r="I30" i="3"/>
  <c r="I33" i="3" s="1"/>
  <c r="I34" i="3" s="1"/>
  <c r="K14" i="6"/>
  <c r="L14" i="6"/>
  <c r="M14" i="6" l="1"/>
  <c r="N14" i="6" s="1"/>
  <c r="J15" i="7" l="1"/>
  <c r="F27" i="7" s="1"/>
  <c r="P14" i="6"/>
  <c r="H27" i="7" l="1" a="1"/>
  <c r="F28" i="7"/>
  <c r="L15" i="7"/>
  <c r="F30" i="7" s="1"/>
  <c r="G27" i="7" a="1"/>
  <c r="I27" i="7" a="1"/>
  <c r="I28" i="7" s="1"/>
  <c r="I31" i="7" s="1"/>
  <c r="F31" i="7" l="1"/>
  <c r="F33" i="7"/>
  <c r="G30" i="7"/>
  <c r="H30" i="7"/>
  <c r="H33" i="7" s="1"/>
  <c r="I30" i="7"/>
  <c r="G28" i="7"/>
  <c r="H28" i="7"/>
  <c r="F34" i="7" l="1"/>
  <c r="G31" i="7"/>
  <c r="H31" i="7"/>
  <c r="I33" i="7"/>
  <c r="I34" i="7" s="1"/>
  <c r="G33" i="7"/>
  <c r="H34" i="7"/>
  <c r="G3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Padmanabha Naveen, Nirenjan Shenoy</author>
    <author>tc={D13C830D-8927-46B3-BC74-DD1CF0C9F571}</author>
    <author>tc={E1F5F370-D6D0-45FD-A2CA-D9855F5EF4EE}</author>
    <author>tc={4746648F-194E-4F69-BA69-D539843629B8}</author>
    <author>tc={5594F106-2CBB-4AB3-A406-63B8CA0901B0}</author>
  </authors>
  <commentList>
    <comment ref="J14" authorId="0" shapeId="0" xr:uid="{2C9A9A75-2EB4-43CB-88A3-E2DAC5FFE2CE}">
      <text>
        <r>
          <rPr>
            <b/>
            <sz val="9"/>
            <color indexed="81"/>
            <rFont val="Tahoma"/>
            <family val="2"/>
          </rPr>
          <t>Padmanabha Naveen, Nirenjan Shenoy:</t>
        </r>
        <r>
          <rPr>
            <sz val="9"/>
            <color indexed="81"/>
            <rFont val="Tahoma"/>
            <family val="2"/>
          </rPr>
          <t xml:space="preserve">
x = 10^8/(kBT/h)</t>
        </r>
      </text>
    </comment>
    <comment ref="J18" authorId="1" shapeId="0" xr:uid="{D13C830D-8927-46B3-BC74-DD1CF0C9F57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from Ref2 CO adsorption prefactor</t>
      </text>
    </comment>
    <comment ref="H19" authorId="2" shapeId="0" xr:uid="{E1F5F370-D6D0-45FD-A2CA-D9855F5EF4E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from Rxn: C* + Os-&gt; CO* + v
Ni10/CeO2</t>
      </text>
    </comment>
    <comment ref="O20" authorId="3" shapeId="0" xr:uid="{4746648F-194E-4F69-BA69-D539843629B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Ref 3, the delE is given as +0.27 eV</t>
      </text>
    </comment>
    <comment ref="F23" authorId="4" shapeId="0" xr:uid="{5594F106-2CBB-4AB3-A406-63B8CA0901B0}">
      <text>
        <t>[Threaded comment]
Your version of Excel allows you to read this threaded comment; however, any edits to it will get removed if the file is opened in a newer version of Excel. Learn more: https://go.microsoft.com/fwlink/?linkid=870924
Comment:
    R11 Ea + R14 delH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tc={3A539A42-EFE9-4AC3-B033-D385676EAC6F}</author>
    <author>tc={E919D77F-B223-476F-AEA5-6AE6648374FC}</author>
    <author>tc={1ED2B210-63B4-4D8F-87E0-CF47226B6EE6}</author>
    <author>tc={81239EEC-8E40-4E8E-A759-62AE26CE878B}</author>
  </authors>
  <commentList>
    <comment ref="J18" authorId="0" shapeId="0" xr:uid="{3A539A42-EFE9-4AC3-B033-D385676EAC6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from Ref2 CO adsorption prefactor</t>
      </text>
    </comment>
    <comment ref="H19" authorId="1" shapeId="0" xr:uid="{E919D77F-B223-476F-AEA5-6AE6648374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from Rxn: C* + Os-&gt; CO* + v
Ni10/CeO2</t>
      </text>
    </comment>
    <comment ref="O20" authorId="2" shapeId="0" xr:uid="{1ED2B210-63B4-4D8F-87E0-CF47226B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Ref 3, the delE is given as +0.27 eV</t>
      </text>
    </comment>
    <comment ref="F23" authorId="3" shapeId="0" xr:uid="{81239EEC-8E40-4E8E-A759-62AE26CE878B}">
      <text>
        <t>[Threaded comment]
Your version of Excel allows you to read this threaded comment; however, any edits to it will get removed if the file is opened in a newer version of Excel. Learn more: https://go.microsoft.com/fwlink/?linkid=870924
Comment:
    Random numbers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<sst xmlns="http://schemas.openxmlformats.org/spreadsheetml/2006/main" count="409" uniqueCount="146">
  <si>
    <t>900 K</t>
  </si>
  <si>
    <t>DRM</t>
  </si>
  <si>
    <t>rWGS</t>
  </si>
  <si>
    <t>Species</t>
  </si>
  <si>
    <t>∆Hf0 (kJ/mol)</t>
  </si>
  <si>
    <t>∆Gf0 (kJ/mol)</t>
  </si>
  <si>
    <t>∆Hrxn (kJ/mol)</t>
  </si>
  <si>
    <r>
      <t>CH</t>
    </r>
    <r>
      <rPr>
        <vertAlign val="subscript"/>
        <sz val="12"/>
        <color theme="1"/>
        <rFont val="Times New Roman"/>
        <family val="1"/>
      </rPr>
      <t>4 (g)</t>
    </r>
  </si>
  <si>
    <r>
      <t>CO</t>
    </r>
    <r>
      <rPr>
        <vertAlign val="subscript"/>
        <sz val="12"/>
        <color theme="1"/>
        <rFont val="Times New Roman"/>
        <family val="1"/>
      </rPr>
      <t>2 (g)</t>
    </r>
  </si>
  <si>
    <t>∆Grxn (kJ/mol)</t>
  </si>
  <si>
    <r>
      <t>H</t>
    </r>
    <r>
      <rPr>
        <vertAlign val="subscript"/>
        <sz val="12"/>
        <color theme="1"/>
        <rFont val="Times New Roman"/>
        <family val="1"/>
      </rPr>
      <t>2 (g)</t>
    </r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</si>
  <si>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(g)</t>
    </r>
  </si>
  <si>
    <t>∆Srxn (kJ/molK)</t>
  </si>
  <si>
    <r>
      <t>CO</t>
    </r>
    <r>
      <rPr>
        <vertAlign val="subscript"/>
        <sz val="12"/>
        <color theme="1"/>
        <rFont val="Times New Roman"/>
        <family val="1"/>
      </rPr>
      <t>(g)</t>
    </r>
  </si>
  <si>
    <t>Target Temperature</t>
  </si>
  <si>
    <t>T</t>
  </si>
  <si>
    <t>1000 K</t>
  </si>
  <si>
    <t>in eV</t>
  </si>
  <si>
    <t>T (K)</t>
  </si>
  <si>
    <r>
      <t>CH</t>
    </r>
    <r>
      <rPr>
        <b/>
        <vertAlign val="subscript"/>
        <sz val="12"/>
        <color theme="1"/>
        <rFont val="Times New Roman"/>
        <family val="1"/>
      </rPr>
      <t>4 (g)</t>
    </r>
  </si>
  <si>
    <r>
      <t>CO</t>
    </r>
    <r>
      <rPr>
        <b/>
        <vertAlign val="subscript"/>
        <sz val="12"/>
        <color theme="1"/>
        <rFont val="Times New Roman"/>
        <family val="1"/>
      </rPr>
      <t>2 (g)</t>
    </r>
  </si>
  <si>
    <r>
      <t>H</t>
    </r>
    <r>
      <rPr>
        <b/>
        <vertAlign val="subscript"/>
        <sz val="12"/>
        <color theme="1"/>
        <rFont val="Times New Roman"/>
        <family val="1"/>
      </rPr>
      <t>2 (g)</t>
    </r>
  </si>
  <si>
    <r>
      <t>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>(g)</t>
    </r>
  </si>
  <si>
    <r>
      <t>CO</t>
    </r>
    <r>
      <rPr>
        <b/>
        <vertAlign val="subscript"/>
        <sz val="12"/>
        <color theme="1"/>
        <rFont val="Times New Roman"/>
        <family val="1"/>
      </rPr>
      <t>(g)</t>
    </r>
  </si>
  <si>
    <t>in J/mol.K</t>
  </si>
  <si>
    <t>Net thermodynamic properties for DRM/rWGS based on NIST</t>
  </si>
  <si>
    <t>Constants</t>
  </si>
  <si>
    <t>Keq (net)</t>
  </si>
  <si>
    <t>∆Srxn (J/mol.K)</t>
  </si>
  <si>
    <t>R</t>
  </si>
  <si>
    <t>eV/K</t>
  </si>
  <si>
    <t>K</t>
  </si>
  <si>
    <t>KB</t>
  </si>
  <si>
    <t>J/molK</t>
  </si>
  <si>
    <t>h</t>
  </si>
  <si>
    <t>Js</t>
  </si>
  <si>
    <t>1eV =</t>
  </si>
  <si>
    <t>kJ/mol</t>
  </si>
  <si>
    <t>rate index</t>
  </si>
  <si>
    <t>Rxn #</t>
  </si>
  <si>
    <t>Rxn</t>
  </si>
  <si>
    <t>D1</t>
  </si>
  <si>
    <t>D2</t>
  </si>
  <si>
    <t>W1</t>
  </si>
  <si>
    <t>W2</t>
  </si>
  <si>
    <t>Keq</t>
  </si>
  <si>
    <t>∆Hrxn,Ri (kJ/mol)</t>
  </si>
  <si>
    <t>∆Srxn,Ri
 (J/mol.K)</t>
  </si>
  <si>
    <t>∆Grxn,Ri
 (kJ/mol)</t>
  </si>
  <si>
    <t>R1</t>
  </si>
  <si>
    <t>CH4(g) + * -&gt; CH4*</t>
  </si>
  <si>
    <t>R2</t>
  </si>
  <si>
    <t>CH4* + * -&gt; CH3* + H*</t>
  </si>
  <si>
    <t>R3</t>
  </si>
  <si>
    <t>CH3* + * -&gt; CH2* + H*</t>
  </si>
  <si>
    <t>T∆Srxn (kJ/mol)</t>
  </si>
  <si>
    <t>R4</t>
  </si>
  <si>
    <t>CH2* + * -&gt; CH* + H*</t>
  </si>
  <si>
    <t>R11+R12</t>
  </si>
  <si>
    <t>R5</t>
  </si>
  <si>
    <t>CH* + * -&gt; C* + H*</t>
  </si>
  <si>
    <t>R14+R15</t>
  </si>
  <si>
    <t>R6</t>
  </si>
  <si>
    <t>2H* -&gt; H2(g) + 2*</t>
  </si>
  <si>
    <t>2</t>
  </si>
  <si>
    <t>R5+R9</t>
  </si>
  <si>
    <t>R7</t>
  </si>
  <si>
    <t>CH* + O* -&gt; CHO*</t>
  </si>
  <si>
    <t>R7+R8</t>
  </si>
  <si>
    <t>R8</t>
  </si>
  <si>
    <t>CHO* + * -&gt; CO* + H*</t>
  </si>
  <si>
    <t>R9</t>
  </si>
  <si>
    <t>C* + O* -&gt; CO* + *</t>
  </si>
  <si>
    <t>R10</t>
  </si>
  <si>
    <t>CO* -&gt; CO + *</t>
  </si>
  <si>
    <t>R11</t>
  </si>
  <si>
    <t>OV + * -&gt; O* + v</t>
  </si>
  <si>
    <t>R12</t>
  </si>
  <si>
    <t>CO2(g)+ v -&gt; CO2v</t>
  </si>
  <si>
    <t>R13</t>
  </si>
  <si>
    <t>Co2v  -&gt; co + Ov</t>
  </si>
  <si>
    <t>1</t>
  </si>
  <si>
    <t>R14</t>
  </si>
  <si>
    <t>co2(g) + ov -&gt; co3v</t>
  </si>
  <si>
    <t>R15</t>
  </si>
  <si>
    <t>co3v + * -&gt; co2v + O*</t>
  </si>
  <si>
    <t>R16</t>
  </si>
  <si>
    <t>H* + Ov -&gt; OHV + *</t>
  </si>
  <si>
    <t>R17</t>
  </si>
  <si>
    <t>OHv + H* -&gt; H2O(g) + v + *</t>
  </si>
  <si>
    <t>Keq (net) calculated</t>
  </si>
  <si>
    <t>∆Grxn calculated (kJ/mol)</t>
  </si>
  <si>
    <t>∆Hrxn cal;culated (kJ/mol)</t>
  </si>
  <si>
    <t>∆Srxn calculated (J/mol.K)</t>
  </si>
  <si>
    <t>Error (∆Grxn) in kJ/mol</t>
  </si>
  <si>
    <t>Error (∆Hrxn) in kJ/mol</t>
  </si>
  <si>
    <t>Error (∆Srxn) in J/mol.K</t>
  </si>
  <si>
    <t>Error in T∆Srxn in kJ/mol</t>
  </si>
  <si>
    <t>kB.T/h</t>
  </si>
  <si>
    <t>(1/s)</t>
  </si>
  <si>
    <t>kB</t>
  </si>
  <si>
    <t>J/K</t>
  </si>
  <si>
    <t>J.s</t>
  </si>
  <si>
    <t>eV to kJ/mol</t>
  </si>
  <si>
    <t>Tref for prefactors (Ref. 10)</t>
  </si>
  <si>
    <t>∆Hf,Ri (eV)</t>
  </si>
  <si>
    <t>∆Hr,Ri (eV)</t>
  </si>
  <si>
    <t>Af,Ri (s-1)</t>
  </si>
  <si>
    <t>Af,Ri /Ar,Ri</t>
  </si>
  <si>
    <t>Ar,Ri (s-1)</t>
  </si>
  <si>
    <t>kf,Ri (1/s)</t>
  </si>
  <si>
    <t>kr,Ri (1/s)</t>
  </si>
  <si>
    <t>∆Grxn,Ri (eV)</t>
  </si>
  <si>
    <t>∆Hrxn,Ri (eV)</t>
  </si>
  <si>
    <t>∆Srxn,Ri (kJ/mol.K)</t>
  </si>
  <si>
    <t>https://doi.org/10.1021/acs.jpcc.4c02579</t>
  </si>
  <si>
    <t>Ni10/CeO2</t>
  </si>
  <si>
    <t>James Dumesic Book</t>
  </si>
  <si>
    <t>https://doi.org/10.1021/jacs.7b08984</t>
  </si>
  <si>
    <t>Ni-Al2O3</t>
  </si>
  <si>
    <t>https://doi.org/10.1021/jp806527q</t>
  </si>
  <si>
    <t>Ni(111) 2009</t>
  </si>
  <si>
    <t>DFT</t>
  </si>
  <si>
    <t>Ni4-CeO2</t>
  </si>
  <si>
    <t>Ni-SDCeO2</t>
  </si>
  <si>
    <t>DFT assisted MKM</t>
  </si>
  <si>
    <t>Ni(111) 2015</t>
  </si>
  <si>
    <t>https://doi.org/10.1039/D4CP01324G</t>
  </si>
  <si>
    <t>https://pubs.acs.org/doi/full/10.1021/acsaem.3c01437?casa_token=hwyagtoDoVoAAAAA%3A3ckurEfC_nEuLj0KzTBf2_Vw6v9Ho73fwKrqmGxgwXxdXbsPhPwQe5sEWn8nK0QozYhD9P82QR2Ahg</t>
  </si>
  <si>
    <t>https://chemistry-europe.onlinelibrary.wiley.com/doi/full/10.1002/cssc.202400681</t>
  </si>
  <si>
    <t>J/mol.K</t>
  </si>
  <si>
    <t>Enthalpic corrections</t>
  </si>
  <si>
    <t>Entropic corrections</t>
  </si>
  <si>
    <t>Original
∆Hrxn,Ri (kJ/mol)</t>
  </si>
  <si>
    <t>Correction,
∆∆Hrxn,Ri
(kJ/mol)</t>
  </si>
  <si>
    <t>Original
∆Srxn,Ri
(J/mol.K)</t>
  </si>
  <si>
    <t>Correction,
∆∆Srxn,Ri
(J/mol.K)</t>
  </si>
  <si>
    <t>exp(∆Srxn,Ri/R)</t>
  </si>
  <si>
    <t>∆∆Hf,Ri
(kJ/mol)</t>
  </si>
  <si>
    <t>∆∆Hr,Ri
(kJ/mol)</t>
  </si>
  <si>
    <t>∆∆Hf,Ri (eV)</t>
  </si>
  <si>
    <t>∆∆Hr,Ri (eV)</t>
  </si>
  <si>
    <t>exp(∆∆Srxn,Ri/R)</t>
  </si>
  <si>
    <t>∆Srxn,Ri (J/molK)</t>
  </si>
  <si>
    <t>∆Srxn,Ri (eV/K)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</si>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</sst>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E+00"/>
    <numFmt numFmtId="167" formatCode="0.00000E+00"/>
  </numFmts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urier New"/>
      <family val="3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</font>
    <font>
      <b/>
      <vertAlign val="subscript"/>
      <sz val="12"/>
      <color theme="1"/>
      <name val="Times New Roman"/>
      <family val="1"/>
    </font>
    <font>
      <b/>
      <sz val="14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7">
    <xf numFmtId="0" fontId="0" fillId="0" borderId="0" xfId="0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11" fontId="0" fillId="0" borderId="1" xfId="0" applyNumberFormat="1" applyBorder="1"/>
    <xf numFmtId="0" fontId="0" fillId="0" borderId="1" xfId="0" applyBorder="1"/>
    <xf numFmtId="0" fontId="4" fillId="0" borderId="1" xfId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1" fontId="2" fillId="0" borderId="0" xfId="0" applyNumberFormat="1" applyFont="1"/>
    <xf numFmtId="11" fontId="1" fillId="0" borderId="0" xfId="0" applyNumberFormat="1" applyFont="1"/>
    <xf numFmtId="11" fontId="7" fillId="0" borderId="0" xfId="0" applyNumberFormat="1" applyFont="1"/>
    <xf numFmtId="166" fontId="0" fillId="0" borderId="0" xfId="0" applyNumberFormat="1"/>
    <xf numFmtId="2" fontId="0" fillId="0" borderId="1" xfId="0" applyNumberFormat="1" applyBorder="1"/>
    <xf numFmtId="49" fontId="0" fillId="8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6" fillId="0" borderId="3" xfId="0" applyFont="1" applyBorder="1"/>
    <xf numFmtId="0" fontId="6" fillId="0" borderId="5" xfId="0" applyFont="1" applyBorder="1"/>
    <xf numFmtId="0" fontId="4" fillId="0" borderId="0" xfId="1" applyFill="1" applyBorder="1"/>
    <xf numFmtId="2" fontId="0" fillId="10" borderId="1" xfId="0" applyNumberFormat="1" applyFill="1" applyBorder="1"/>
    <xf numFmtId="167" fontId="0" fillId="0" borderId="0" xfId="0" applyNumberFormat="1"/>
    <xf numFmtId="0" fontId="0" fillId="0" borderId="1" xfId="0" applyBorder="1" applyAlignment="1">
      <alignment horizontal="center"/>
    </xf>
    <xf numFmtId="11" fontId="10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wrapText="1"/>
    </xf>
    <xf numFmtId="11" fontId="0" fillId="0" borderId="0" xfId="0" applyNumberFormat="1" applyAlignment="1">
      <alignment horizontal="center"/>
    </xf>
    <xf numFmtId="165" fontId="0" fillId="0" borderId="0" xfId="0" applyNumberFormat="1"/>
    <xf numFmtId="0" fontId="1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1" fillId="0" borderId="0" xfId="0" applyFont="1"/>
    <xf numFmtId="0" fontId="15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4" fillId="0" borderId="1" xfId="1" applyBorder="1" applyAlignment="1">
      <alignment wrapText="1"/>
    </xf>
    <xf numFmtId="0" fontId="0" fillId="10" borderId="1" xfId="0" applyFill="1" applyBorder="1" applyAlignment="1">
      <alignment wrapText="1"/>
    </xf>
    <xf numFmtId="0" fontId="4" fillId="13" borderId="1" xfId="1" applyFill="1" applyBorder="1" applyAlignment="1">
      <alignment wrapText="1"/>
    </xf>
    <xf numFmtId="165" fontId="0" fillId="0" borderId="1" xfId="0" applyNumberForma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left"/>
    </xf>
    <xf numFmtId="2" fontId="0" fillId="0" borderId="9" xfId="0" applyNumberFormat="1" applyBorder="1" applyAlignment="1">
      <alignment vertical="center"/>
    </xf>
    <xf numFmtId="165" fontId="0" fillId="6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1" fontId="3" fillId="0" borderId="0" xfId="0" applyNumberFormat="1" applyFont="1"/>
    <xf numFmtId="0" fontId="6" fillId="0" borderId="5" xfId="0" applyFont="1" applyBorder="1" applyAlignment="1">
      <alignment horizontal="left"/>
    </xf>
    <xf numFmtId="166" fontId="0" fillId="0" borderId="1" xfId="0" applyNumberFormat="1" applyBorder="1"/>
    <xf numFmtId="0" fontId="5" fillId="2" borderId="1" xfId="1" applyFon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1" fontId="5" fillId="14" borderId="1" xfId="0" applyNumberFormat="1" applyFont="1" applyFill="1" applyBorder="1" applyAlignment="1">
      <alignment horizontal="center" vertical="center"/>
    </xf>
    <xf numFmtId="11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1" fontId="0" fillId="14" borderId="1" xfId="0" applyNumberFormat="1" applyFill="1" applyBorder="1"/>
    <xf numFmtId="2" fontId="0" fillId="1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1" fontId="2" fillId="4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180976</xdr:colOff>
      <xdr:row>8</xdr:row>
      <xdr:rowOff>144780</xdr:rowOff>
    </xdr:from>
    <xdr:to>
      <xdr:col>5</xdr:col>
      <xdr:colOff>131363</xdr:colOff>
      <xdr:row>14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F3006-5357-4C94-9D34-A0087E4E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6" y="1783080"/>
          <a:ext cx="3023152" cy="1375410"/>
        </a:xfrm>
        <a:prstGeom prst="rect">
          <a:avLst/>
        </a:prstGeom>
      </xdr:spPr>
    </xdr:pic>
    <xdr:clientData/>
  </xdr:twoCellAnchor>
  <xdr:twoCellAnchor>
    <xdr:from>
      <xdr:col>0</xdr:col>
      <xdr:colOff>596265</xdr:colOff>
      <xdr:row>16</xdr:row>
      <xdr:rowOff>182881</xdr:rowOff>
    </xdr:from>
    <xdr:to>
      <xdr:col>6</xdr:col>
      <xdr:colOff>1076325</xdr:colOff>
      <xdr:row>19</xdr:row>
      <xdr:rowOff>34290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359396-D6EE-0608-E249-F2D3086B1CE5}"/>
            </a:ext>
          </a:extLst>
        </xdr:cNvPr>
        <xdr:cNvSpPr txBox="1"/>
      </xdr:nvSpPr>
      <xdr:spPr>
        <a:xfrm>
          <a:off x="596265" y="3659506"/>
          <a:ext cx="5013960" cy="4895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From NIST JANAF tables -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Thomas C. Allison. NIST-JANAF Thermochemical Tables - SRD 13, 2013. https://doi.org/10.18434/T42S31</a:t>
          </a:r>
          <a:r>
            <a:rPr lang="en-US" sz="1100" b="1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963930</xdr:colOff>
      <xdr:row>8</xdr:row>
      <xdr:rowOff>361950</xdr:rowOff>
    </xdr:from>
    <xdr:to>
      <xdr:col>19</xdr:col>
      <xdr:colOff>57150</xdr:colOff>
      <xdr:row>10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0BF316-1689-0DC5-F362-2031D05E187B}"/>
            </a:ext>
          </a:extLst>
        </xdr:cNvPr>
        <xdr:cNvSpPr txBox="1"/>
      </xdr:nvSpPr>
      <xdr:spPr>
        <a:xfrm>
          <a:off x="12603480" y="1809750"/>
          <a:ext cx="456057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Check</a:t>
          </a:r>
          <a:r>
            <a:rPr lang="en-US" sz="1100" b="1" baseline="0"/>
            <a:t> for thermodynamic consistency between lineraly dependent pathways!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892970</xdr:colOff>
      <xdr:row>8</xdr:row>
      <xdr:rowOff>345361</xdr:rowOff>
    </xdr:from>
    <xdr:to>
      <xdr:col>19</xdr:col>
      <xdr:colOff>560150</xdr:colOff>
      <xdr:row>10</xdr:row>
      <xdr:rowOff>54848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BABDF7-E45F-4648-A11D-496058019327}"/>
            </a:ext>
          </a:extLst>
        </xdr:cNvPr>
        <xdr:cNvSpPr txBox="1"/>
      </xdr:nvSpPr>
      <xdr:spPr>
        <a:xfrm>
          <a:off x="12382501" y="1774111"/>
          <a:ext cx="5153977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Check</a:t>
          </a:r>
          <a:r>
            <a:rPr lang="en-US" sz="1100" b="1" baseline="0"/>
            <a:t> for thermodynamic consistency between lineraly dependent pathways!</a:t>
          </a:r>
          <a:endParaRPr lang="en-US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renjan Shenoy" id="{D2CF3B64-C311-40C6-8B03-2145B31051A2}" userId="Nirenjan Sheno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5-03-14T03:49:41.87" personId="{D2CF3B64-C311-40C6-8B03-2145B31051A2}" id="{D13C830D-8927-46B3-BC74-DD1CF0C9F571}">
    <text>Assumed from Ref2 CO adsorption prefactor</text>
  </threadedComment>
  <threadedComment ref="H19" dT="2025-03-14T00:58:24.21" personId="{D2CF3B64-C311-40C6-8B03-2145B31051A2}" id="{E1F5F370-D6D0-45FD-A2CA-D9855F5EF4EE}">
    <text>Assumed from Rxn: C* + Os-&gt; CO* + v
Ni10/CeO2</text>
  </threadedComment>
  <threadedComment ref="O20" dT="2025-03-14T02:29:12.59" personId="{D2CF3B64-C311-40C6-8B03-2145B31051A2}" id="{4746648F-194E-4F69-BA69-D539843629B8}">
    <text>From Ref 3, the delE is given as +0.27 eV</text>
  </threadedComment>
  <threadedComment ref="F23" dT="2025-03-14T04:06:22.18" personId="{D2CF3B64-C311-40C6-8B03-2145B31051A2}" id="{5594F106-2CBB-4AB3-A406-63B8CA0901B0}">
    <text>R11 Ea + R14 delH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8" dT="2025-03-14T03:49:41.87" personId="{D2CF3B64-C311-40C6-8B03-2145B31051A2}" id="{3A539A42-EFE9-4AC3-B033-D385676EAC6F}">
    <text>Assumed from Ref2 CO adsorption prefactor</text>
  </threadedComment>
  <threadedComment ref="H19" dT="2025-03-14T00:58:24.21" personId="{D2CF3B64-C311-40C6-8B03-2145B31051A2}" id="{E919D77F-B223-476F-AEA5-6AE6648374FC}">
    <text>Assumed from Rxn: C* + Os-&gt; CO* + v
Ni10/CeO2</text>
  </threadedComment>
  <threadedComment ref="O20" dT="2025-03-14T02:29:12.59" personId="{D2CF3B64-C311-40C6-8B03-2145B31051A2}" id="{1ED2B210-63B4-4D8F-87E0-CF47226B6EE6}">
    <text>From Ref 3, the delE is given as +0.27 eV</text>
  </threadedComment>
  <threadedComment ref="F23" dT="2025-03-14T04:06:22.18" personId="{D2CF3B64-C311-40C6-8B03-2145B31051A2}" id="{81239EEC-8E40-4E8E-A759-62AE26CE878B}">
    <text>Random numbers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mistry-europe.onlinelibrary.wiley.com/doi/full/10.1002/cssc.20240068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A376-A78E-43A9-9449-62A9E4AC8832}">
  <dimension ref="B3:T36"/>
  <sheetViews>
    <sheetView tabSelected="1" topLeftCell="A5" workbookViewId="0">
      <selection activeCell="I13" sqref="I13"/>
    </sheetView>
  </sheetViews>
  <sheetFormatPr defaultRowHeight="14.4" x14ac:dyDescent="0.3"/>
  <cols>
    <col min="2" max="2" width="10.109375" customWidth="1"/>
    <col min="3" max="3" width="12.6640625" customWidth="1"/>
    <col min="4" max="4" width="13.33203125" customWidth="1"/>
    <col min="6" max="6" width="12.33203125" customWidth="1"/>
    <col min="7" max="7" width="16.109375" customWidth="1"/>
    <col min="12" max="12" width="13.6640625" customWidth="1"/>
    <col min="13" max="13" width="12.5546875" customWidth="1"/>
    <col min="15" max="15" width="9.33203125" bestFit="1" customWidth="1"/>
    <col min="19" max="20" width="9.5546875" bestFit="1" customWidth="1"/>
  </cols>
  <sheetData>
    <row r="3" spans="2:18" x14ac:dyDescent="0.3">
      <c r="K3" s="126" t="s">
        <v>0</v>
      </c>
      <c r="L3" s="126"/>
      <c r="M3" s="126"/>
      <c r="N3" s="45"/>
      <c r="O3" s="65" t="s">
        <v>1</v>
      </c>
      <c r="P3" s="65" t="s">
        <v>2</v>
      </c>
      <c r="Q3" s="45"/>
      <c r="R3" s="45"/>
    </row>
    <row r="4" spans="2:18" x14ac:dyDescent="0.3">
      <c r="K4" s="65" t="s">
        <v>3</v>
      </c>
      <c r="L4" s="74" t="s">
        <v>4</v>
      </c>
      <c r="M4" s="65" t="s">
        <v>5</v>
      </c>
      <c r="N4" s="45"/>
      <c r="O4" s="126" t="s">
        <v>6</v>
      </c>
      <c r="P4" s="126"/>
      <c r="Q4" s="45"/>
      <c r="R4" s="45"/>
    </row>
    <row r="5" spans="2:18" ht="18" x14ac:dyDescent="0.3">
      <c r="K5" s="34" t="s">
        <v>7</v>
      </c>
      <c r="L5" s="34">
        <f>C23</f>
        <v>-88.691999999999993</v>
      </c>
      <c r="M5" s="34">
        <f>D23</f>
        <v>8.6159999999999997</v>
      </c>
      <c r="N5" s="45"/>
      <c r="O5" s="12">
        <f>2*(L7+L9)-(L5+L6)</f>
        <v>260.26099999999997</v>
      </c>
      <c r="P5" s="45">
        <f>(L9+L8)-(L7+L6)</f>
        <v>35.801999999999964</v>
      </c>
      <c r="Q5" s="45"/>
      <c r="R5" s="45"/>
    </row>
    <row r="6" spans="2:18" ht="18" x14ac:dyDescent="0.3">
      <c r="K6" s="34" t="s">
        <v>8</v>
      </c>
      <c r="L6" s="34">
        <f t="shared" ref="L6:M6" si="0">C24</f>
        <v>-394.40499999999997</v>
      </c>
      <c r="M6" s="34">
        <f t="shared" si="0"/>
        <v>-395.74799999999999</v>
      </c>
      <c r="N6" s="45"/>
      <c r="O6" s="126" t="s">
        <v>9</v>
      </c>
      <c r="P6" s="126"/>
      <c r="Q6" s="45"/>
      <c r="R6" s="45"/>
    </row>
    <row r="7" spans="2:18" ht="18" x14ac:dyDescent="0.3">
      <c r="K7" s="34" t="s">
        <v>10</v>
      </c>
      <c r="L7" s="34">
        <f t="shared" ref="L7:M7" si="1">C25</f>
        <v>0</v>
      </c>
      <c r="M7" s="34">
        <f t="shared" si="1"/>
        <v>0</v>
      </c>
      <c r="N7" s="45"/>
      <c r="O7" s="12">
        <f>2*(M7+M9)-(M5+M6)</f>
        <v>4.3000000000000114</v>
      </c>
      <c r="P7" s="12">
        <f>(M9+M8)-(M6+M7)</f>
        <v>6.2489999999999668</v>
      </c>
      <c r="Q7" s="45"/>
      <c r="R7" s="45"/>
    </row>
    <row r="8" spans="2:18" ht="18" x14ac:dyDescent="0.3">
      <c r="K8" s="34" t="s">
        <v>11</v>
      </c>
      <c r="L8" s="34">
        <f t="shared" ref="L8:M8" si="2">C26</f>
        <v>-247.185</v>
      </c>
      <c r="M8" s="34">
        <f t="shared" si="2"/>
        <v>-198.083</v>
      </c>
      <c r="N8" s="45"/>
      <c r="O8" s="126" t="s">
        <v>12</v>
      </c>
      <c r="P8" s="126"/>
      <c r="Q8" s="45"/>
      <c r="R8" s="45"/>
    </row>
    <row r="9" spans="2:18" ht="18" x14ac:dyDescent="0.3">
      <c r="K9" s="34" t="s">
        <v>13</v>
      </c>
      <c r="L9" s="34">
        <f t="shared" ref="L9:M9" si="3">C27</f>
        <v>-111.41800000000001</v>
      </c>
      <c r="M9" s="34">
        <f t="shared" si="3"/>
        <v>-191.416</v>
      </c>
      <c r="N9" s="45"/>
      <c r="O9" s="44">
        <f>(O5-O7)/$C$21</f>
        <v>0.28440111111111105</v>
      </c>
      <c r="P9" s="44">
        <f>(P5-P7)/$C$21</f>
        <v>3.2836666666666667E-2</v>
      </c>
      <c r="Q9" s="45"/>
      <c r="R9" s="45"/>
    </row>
    <row r="10" spans="2:18" ht="15" thickBot="1" x14ac:dyDescent="0.35">
      <c r="K10" s="45"/>
      <c r="L10" s="45"/>
      <c r="M10" s="45"/>
      <c r="N10" s="45"/>
      <c r="O10" s="45"/>
      <c r="P10" s="45"/>
      <c r="Q10" s="45"/>
      <c r="R10" s="45"/>
    </row>
    <row r="11" spans="2:18" ht="29.4" thickBot="1" x14ac:dyDescent="0.35">
      <c r="G11" s="58" t="s">
        <v>14</v>
      </c>
      <c r="H11" s="59" t="s">
        <v>15</v>
      </c>
      <c r="I11" s="60">
        <f>'Original params'!I3</f>
        <v>973.15</v>
      </c>
      <c r="K11" s="45"/>
      <c r="L11" s="45"/>
      <c r="M11" s="45"/>
      <c r="N11" s="45"/>
      <c r="O11" s="45"/>
      <c r="P11" s="45"/>
      <c r="Q11" s="45"/>
      <c r="R11" s="45"/>
    </row>
    <row r="12" spans="2:18" x14ac:dyDescent="0.3">
      <c r="K12" s="126" t="s">
        <v>16</v>
      </c>
      <c r="L12" s="126"/>
      <c r="M12" s="126"/>
      <c r="N12" s="45"/>
      <c r="O12" s="65" t="s">
        <v>1</v>
      </c>
      <c r="P12" s="65" t="s">
        <v>2</v>
      </c>
      <c r="Q12" s="45"/>
      <c r="R12" s="45"/>
    </row>
    <row r="13" spans="2:18" x14ac:dyDescent="0.3">
      <c r="B13" s="36"/>
      <c r="C13" s="36"/>
      <c r="D13" s="36"/>
      <c r="E13" s="36"/>
      <c r="F13" s="36"/>
      <c r="G13" s="36"/>
      <c r="H13" s="36"/>
      <c r="I13" s="36"/>
      <c r="K13" s="65" t="s">
        <v>3</v>
      </c>
      <c r="L13" s="74" t="s">
        <v>4</v>
      </c>
      <c r="M13" s="65" t="s">
        <v>5</v>
      </c>
      <c r="N13" s="45"/>
      <c r="O13" s="126" t="s">
        <v>6</v>
      </c>
      <c r="P13" s="126"/>
      <c r="Q13" s="128" t="s">
        <v>17</v>
      </c>
      <c r="R13" s="129"/>
    </row>
    <row r="14" spans="2:18" ht="18" x14ac:dyDescent="0.3">
      <c r="B14" s="37"/>
      <c r="C14" s="37"/>
      <c r="D14" s="37"/>
      <c r="E14" s="37"/>
      <c r="F14" s="36"/>
      <c r="G14" s="36"/>
      <c r="K14" s="34" t="s">
        <v>7</v>
      </c>
      <c r="L14" s="34">
        <f>F23</f>
        <v>-89.849000000000004</v>
      </c>
      <c r="M14" s="34">
        <f>G23</f>
        <v>19.492000000000001</v>
      </c>
      <c r="N14" s="47"/>
      <c r="O14" s="12">
        <f>2*(F25+F27)-(F23+F24)</f>
        <v>260.50900000000001</v>
      </c>
      <c r="P14" s="12">
        <f>(L18+L17)-(L15+L16)</f>
        <v>34.779999999999973</v>
      </c>
      <c r="Q14" s="48">
        <f>O14/'Initial Krxn_calc'!$G$7</f>
        <v>2.6998549072442741</v>
      </c>
      <c r="R14" s="48">
        <f>P14/'Initial Krxn_calc'!$G$7</f>
        <v>0.36045186029640353</v>
      </c>
    </row>
    <row r="15" spans="2:18" ht="18" x14ac:dyDescent="0.3">
      <c r="B15" s="37"/>
      <c r="C15" s="37"/>
      <c r="D15" s="37"/>
      <c r="E15" s="37"/>
      <c r="F15" s="36"/>
      <c r="G15" s="36"/>
      <c r="K15" s="34" t="s">
        <v>8</v>
      </c>
      <c r="L15" s="34">
        <f t="shared" ref="L15:M18" si="4">F24</f>
        <v>-394.62</v>
      </c>
      <c r="M15" s="34">
        <f t="shared" si="4"/>
        <v>-395.89</v>
      </c>
      <c r="N15" s="47"/>
      <c r="O15" s="126" t="s">
        <v>9</v>
      </c>
      <c r="P15" s="126"/>
      <c r="Q15" s="45"/>
      <c r="R15" s="45"/>
    </row>
    <row r="16" spans="2:18" ht="18" x14ac:dyDescent="0.3">
      <c r="B16" s="37"/>
      <c r="C16" s="37"/>
      <c r="D16" s="37"/>
      <c r="E16" s="37"/>
      <c r="F16" s="36"/>
      <c r="G16" s="36"/>
      <c r="K16" s="34" t="s">
        <v>10</v>
      </c>
      <c r="L16" s="34">
        <f t="shared" si="4"/>
        <v>0</v>
      </c>
      <c r="M16" s="34">
        <f t="shared" si="4"/>
        <v>0</v>
      </c>
      <c r="N16" s="47"/>
      <c r="O16" s="12">
        <f>2*(G25+G27)-(G23+G24)</f>
        <v>-24.162000000000035</v>
      </c>
      <c r="P16" s="12">
        <f>(M18+M17)-(M16+M15)</f>
        <v>3.0199999999999818</v>
      </c>
      <c r="Q16" s="45"/>
      <c r="R16" s="45"/>
    </row>
    <row r="17" spans="2:20" ht="18" x14ac:dyDescent="0.3">
      <c r="B17" s="37"/>
      <c r="C17" s="37"/>
      <c r="D17" s="37"/>
      <c r="E17" s="37"/>
      <c r="F17" s="36"/>
      <c r="G17" s="36"/>
      <c r="K17" s="34" t="s">
        <v>11</v>
      </c>
      <c r="L17" s="34">
        <f t="shared" si="4"/>
        <v>-247.86</v>
      </c>
      <c r="M17" s="34">
        <f t="shared" si="4"/>
        <v>-192.59</v>
      </c>
      <c r="N17" s="47"/>
      <c r="O17" s="126" t="s">
        <v>12</v>
      </c>
      <c r="P17" s="126"/>
      <c r="Q17" s="45"/>
      <c r="R17" s="45"/>
    </row>
    <row r="18" spans="2:20" ht="18" x14ac:dyDescent="0.3">
      <c r="B18" s="37"/>
      <c r="C18" s="37"/>
      <c r="D18" s="37"/>
      <c r="E18" s="37"/>
      <c r="F18" s="36"/>
      <c r="G18" s="36"/>
      <c r="K18" s="34" t="s">
        <v>13</v>
      </c>
      <c r="L18" s="34">
        <f t="shared" si="4"/>
        <v>-111.98</v>
      </c>
      <c r="M18" s="34">
        <f t="shared" si="4"/>
        <v>-200.28</v>
      </c>
      <c r="N18" s="47"/>
      <c r="O18" s="44">
        <f>(O14-O16)/$F$21</f>
        <v>0.28467100000000006</v>
      </c>
      <c r="P18" s="44">
        <f>(P14-P16)/$F$21</f>
        <v>3.175999999999999E-2</v>
      </c>
      <c r="Q18" s="45"/>
      <c r="R18" s="45"/>
    </row>
    <row r="19" spans="2:20" x14ac:dyDescent="0.3">
      <c r="K19" s="45"/>
      <c r="L19" s="45"/>
      <c r="M19" s="45"/>
      <c r="N19" s="45"/>
      <c r="O19" s="45"/>
      <c r="P19" s="45"/>
      <c r="Q19" s="45"/>
      <c r="R19" s="45"/>
    </row>
    <row r="20" spans="2:20" x14ac:dyDescent="0.3">
      <c r="K20" s="45"/>
      <c r="L20" s="45"/>
      <c r="M20" s="45"/>
      <c r="N20" s="45"/>
      <c r="O20" s="45"/>
      <c r="P20" s="45"/>
      <c r="Q20" s="45"/>
      <c r="R20" s="45"/>
    </row>
    <row r="21" spans="2:20" ht="15.6" x14ac:dyDescent="0.3">
      <c r="B21" s="72" t="s">
        <v>18</v>
      </c>
      <c r="C21" s="127">
        <v>900</v>
      </c>
      <c r="D21" s="127"/>
      <c r="F21" s="127">
        <v>1000</v>
      </c>
      <c r="G21" s="127"/>
      <c r="K21" s="121">
        <v>973.15</v>
      </c>
      <c r="L21" s="125"/>
      <c r="M21" s="122"/>
      <c r="N21" s="46"/>
      <c r="O21" s="67" t="s">
        <v>1</v>
      </c>
      <c r="P21" s="67" t="s">
        <v>2</v>
      </c>
      <c r="Q21" s="46"/>
      <c r="R21" s="46"/>
    </row>
    <row r="22" spans="2:20" x14ac:dyDescent="0.3">
      <c r="B22" s="72"/>
      <c r="C22" s="73" t="s">
        <v>4</v>
      </c>
      <c r="D22" s="72" t="s">
        <v>5</v>
      </c>
      <c r="F22" s="73" t="s">
        <v>4</v>
      </c>
      <c r="G22" s="72" t="s">
        <v>5</v>
      </c>
      <c r="K22" s="65" t="s">
        <v>3</v>
      </c>
      <c r="L22" s="74" t="s">
        <v>4</v>
      </c>
      <c r="M22" s="65" t="s">
        <v>5</v>
      </c>
      <c r="N22" s="46"/>
      <c r="O22" s="123" t="s">
        <v>6</v>
      </c>
      <c r="P22" s="124"/>
      <c r="Q22" s="130" t="s">
        <v>17</v>
      </c>
      <c r="R22" s="131"/>
      <c r="S22" s="120"/>
      <c r="T22" s="120"/>
    </row>
    <row r="23" spans="2:20" ht="18" x14ac:dyDescent="0.35">
      <c r="B23" s="56" t="s">
        <v>19</v>
      </c>
      <c r="C23" s="38">
        <v>-88.691999999999993</v>
      </c>
      <c r="D23" s="38">
        <v>8.6159999999999997</v>
      </c>
      <c r="F23" s="57">
        <v>-89.849000000000004</v>
      </c>
      <c r="G23" s="38">
        <v>19.492000000000001</v>
      </c>
      <c r="K23" s="56" t="s">
        <v>19</v>
      </c>
      <c r="L23" s="43">
        <f>C23+(((I11-C21)/(F21-C21))*(F23-C23))</f>
        <v>-89.538345500000005</v>
      </c>
      <c r="M23" s="43">
        <f>D23+((($I$11-$C$21)/($F$21-$C$21))*(G23-D23))</f>
        <v>16.571793999999997</v>
      </c>
      <c r="N23" s="49"/>
      <c r="O23" s="50">
        <f>2*(L27+L25)-(L23+L24)</f>
        <v>260.44241199999999</v>
      </c>
      <c r="P23" s="50">
        <f>(L26+L27)-(L24+L25)</f>
        <v>35.054407000000026</v>
      </c>
      <c r="Q23" s="51">
        <f>O23/'Initial Krxn_calc'!$G$7</f>
        <v>2.6991648046429684</v>
      </c>
      <c r="R23" s="51">
        <f>P23/'Initial Krxn_calc'!$G$7</f>
        <v>0.36329575085501115</v>
      </c>
      <c r="T23" s="2"/>
    </row>
    <row r="24" spans="2:20" ht="18" x14ac:dyDescent="0.3">
      <c r="B24" s="56" t="s">
        <v>20</v>
      </c>
      <c r="C24" s="39">
        <v>-394.40499999999997</v>
      </c>
      <c r="D24" s="39">
        <v>-395.74799999999999</v>
      </c>
      <c r="F24" s="56">
        <v>-394.62</v>
      </c>
      <c r="G24" s="34">
        <v>-395.89</v>
      </c>
      <c r="K24" s="56" t="s">
        <v>20</v>
      </c>
      <c r="L24" s="52">
        <f>C24+((($I$11-$C$21)/($F$21-$C$21))*(F24-C24))</f>
        <v>-394.56227250000001</v>
      </c>
      <c r="M24" s="43">
        <f>D24+((($I$11-$C$21)/($F$21-$C$21))*(G24-D24))</f>
        <v>-395.85187300000001</v>
      </c>
      <c r="N24" s="49"/>
      <c r="O24" s="121" t="s">
        <v>9</v>
      </c>
      <c r="P24" s="122"/>
      <c r="Q24" s="46"/>
      <c r="R24" s="46"/>
      <c r="S24" s="120"/>
      <c r="T24" s="120"/>
    </row>
    <row r="25" spans="2:20" ht="18" x14ac:dyDescent="0.3">
      <c r="B25" s="56" t="s">
        <v>21</v>
      </c>
      <c r="C25" s="25">
        <v>0</v>
      </c>
      <c r="D25" s="25">
        <v>0</v>
      </c>
      <c r="F25" s="10">
        <v>0</v>
      </c>
      <c r="G25" s="25">
        <v>0</v>
      </c>
      <c r="K25" s="56" t="s">
        <v>21</v>
      </c>
      <c r="L25" s="52">
        <f>C25+((($I$11-$C$21)/($F$21-$C$21))*(F25-C25))</f>
        <v>0</v>
      </c>
      <c r="M25" s="43">
        <f>D25+((($I$11-$C$21)/($F$21-$C$21))*(G25-D25))</f>
        <v>0</v>
      </c>
      <c r="N25" s="49"/>
      <c r="O25" s="50">
        <f>2*(M25+M27)-(M24+M23)</f>
        <v>-16.519952999999987</v>
      </c>
      <c r="P25" s="50">
        <f>(M26+M27)-(M25+M24)</f>
        <v>3.8869864999999777</v>
      </c>
      <c r="Q25" s="46"/>
      <c r="R25" s="46"/>
      <c r="T25" s="2"/>
    </row>
    <row r="26" spans="2:20" ht="18" x14ac:dyDescent="0.3">
      <c r="B26" s="56" t="s">
        <v>22</v>
      </c>
      <c r="C26" s="39">
        <v>-247.185</v>
      </c>
      <c r="D26" s="39">
        <v>-198.083</v>
      </c>
      <c r="F26" s="56">
        <v>-247.86</v>
      </c>
      <c r="G26" s="34">
        <v>-192.59</v>
      </c>
      <c r="K26" s="56" t="s">
        <v>22</v>
      </c>
      <c r="L26" s="52">
        <f>C26+((($I$11-$C$21)/($F$21-$C$21))*(F26-C26))</f>
        <v>-247.6787625</v>
      </c>
      <c r="M26" s="43">
        <f>D26+((($I$11-$C$21)/($F$21-$C$21))*(G26-D26))</f>
        <v>-194.06487050000001</v>
      </c>
      <c r="N26" s="49"/>
      <c r="O26" s="121" t="s">
        <v>12</v>
      </c>
      <c r="P26" s="122"/>
      <c r="Q26" s="46"/>
      <c r="R26" s="46"/>
      <c r="S26" s="120"/>
      <c r="T26" s="120"/>
    </row>
    <row r="27" spans="2:20" ht="18" x14ac:dyDescent="0.3">
      <c r="B27" s="56" t="s">
        <v>23</v>
      </c>
      <c r="C27" s="39">
        <v>-111.41800000000001</v>
      </c>
      <c r="D27" s="39">
        <v>-191.416</v>
      </c>
      <c r="F27" s="56">
        <v>-111.98</v>
      </c>
      <c r="G27" s="34">
        <v>-200.28</v>
      </c>
      <c r="K27" s="56" t="s">
        <v>23</v>
      </c>
      <c r="L27" s="52">
        <f>C27+((($I$11-$C$21)/($F$21-$C$21))*(F27-C27))</f>
        <v>-111.829103</v>
      </c>
      <c r="M27" s="43">
        <f>D27+((($I$11-$C$21)/($F$21-$C$21))*(G27-D27))</f>
        <v>-197.90001599999999</v>
      </c>
      <c r="N27" s="49"/>
      <c r="O27" s="53">
        <f>(O23-O25)/$I$11</f>
        <v>0.28460398191440167</v>
      </c>
      <c r="P27" s="53">
        <f>(P23-P25)/$I$11</f>
        <v>3.2027354981246516E-2</v>
      </c>
      <c r="Q27" s="46"/>
      <c r="R27" s="46"/>
      <c r="S27" s="3"/>
      <c r="T27" s="3"/>
    </row>
    <row r="28" spans="2:20" x14ac:dyDescent="0.3">
      <c r="K28" s="45"/>
      <c r="L28" s="45"/>
      <c r="M28" s="45"/>
      <c r="N28" s="46" t="s">
        <v>24</v>
      </c>
      <c r="O28" s="50">
        <f>O27*1000</f>
        <v>284.60398191440169</v>
      </c>
      <c r="P28" s="50">
        <f>P27*1000</f>
        <v>32.027354981246518</v>
      </c>
      <c r="Q28" s="46"/>
      <c r="R28" s="46"/>
      <c r="S28" s="2"/>
      <c r="T28" s="2"/>
    </row>
    <row r="30" spans="2:20" x14ac:dyDescent="0.3">
      <c r="B30" s="2"/>
      <c r="C30" s="2"/>
      <c r="D30" s="2"/>
      <c r="E30" s="2"/>
    </row>
    <row r="32" spans="2:20" x14ac:dyDescent="0.3">
      <c r="B32" s="120"/>
      <c r="C32" s="120"/>
      <c r="D32" s="120"/>
      <c r="E32" s="120"/>
    </row>
    <row r="33" spans="2:13" x14ac:dyDescent="0.3">
      <c r="B33" s="2"/>
    </row>
    <row r="36" spans="2:13" ht="15.6" x14ac:dyDescent="0.3">
      <c r="L36" s="31"/>
      <c r="M36" s="31"/>
    </row>
  </sheetData>
  <mergeCells count="20">
    <mergeCell ref="S22:T22"/>
    <mergeCell ref="S24:T24"/>
    <mergeCell ref="S26:T26"/>
    <mergeCell ref="Q13:R13"/>
    <mergeCell ref="Q22:R22"/>
    <mergeCell ref="K3:M3"/>
    <mergeCell ref="O4:P4"/>
    <mergeCell ref="O6:P6"/>
    <mergeCell ref="O8:P8"/>
    <mergeCell ref="K12:M12"/>
    <mergeCell ref="O17:P17"/>
    <mergeCell ref="O15:P15"/>
    <mergeCell ref="O13:P13"/>
    <mergeCell ref="C21:D21"/>
    <mergeCell ref="F21:G21"/>
    <mergeCell ref="B32:E32"/>
    <mergeCell ref="O26:P26"/>
    <mergeCell ref="O24:P24"/>
    <mergeCell ref="O22:P22"/>
    <mergeCell ref="K21:M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F362-B37A-4955-8930-C72147C11B24}">
  <dimension ref="C1:Z38"/>
  <sheetViews>
    <sheetView zoomScale="95" zoomScaleNormal="100" workbookViewId="0">
      <selection activeCell="F5" sqref="F5"/>
    </sheetView>
  </sheetViews>
  <sheetFormatPr defaultRowHeight="14.4" x14ac:dyDescent="0.3"/>
  <cols>
    <col min="3" max="3" width="10.88671875" customWidth="1"/>
    <col min="4" max="4" width="9" customWidth="1"/>
    <col min="5" max="5" width="38.88671875" customWidth="1"/>
    <col min="6" max="6" width="12.44140625" style="4" customWidth="1"/>
    <col min="7" max="7" width="12.44140625" customWidth="1"/>
    <col min="8" max="8" width="16.88671875" customWidth="1"/>
    <col min="9" max="9" width="12.109375" style="3" bestFit="1" customWidth="1"/>
    <col min="10" max="10" width="12" style="3" bestFit="1" customWidth="1"/>
    <col min="11" max="11" width="14.88671875" customWidth="1"/>
    <col min="12" max="12" width="12.88671875" style="3" bestFit="1" customWidth="1"/>
    <col min="13" max="13" width="11" style="3" bestFit="1" customWidth="1"/>
    <col min="14" max="14" width="14.44140625" style="3" customWidth="1"/>
    <col min="15" max="15" width="16.6640625" style="2" customWidth="1"/>
    <col min="16" max="16" width="18.6640625" style="2" customWidth="1"/>
    <col min="17" max="17" width="14.33203125" style="1" customWidth="1"/>
    <col min="19" max="19" width="10.44140625" customWidth="1"/>
    <col min="23" max="23" width="13.44140625" customWidth="1"/>
    <col min="24" max="24" width="12.44140625" bestFit="1" customWidth="1"/>
    <col min="25" max="25" width="9.44140625" bestFit="1" customWidth="1"/>
  </cols>
  <sheetData>
    <row r="1" spans="3:25" x14ac:dyDescent="0.3">
      <c r="H1" s="132" t="s">
        <v>26</v>
      </c>
      <c r="I1" s="132"/>
      <c r="J1" s="132"/>
      <c r="K1" s="132"/>
      <c r="L1" s="132"/>
      <c r="M1" s="132"/>
    </row>
    <row r="2" spans="3:25" x14ac:dyDescent="0.3">
      <c r="H2" s="9" t="s">
        <v>98</v>
      </c>
      <c r="I2" s="44">
        <f>(L2*I3)/L3</f>
        <v>20267838816782.367</v>
      </c>
      <c r="J2" s="44" t="s">
        <v>99</v>
      </c>
      <c r="K2" s="9" t="s">
        <v>100</v>
      </c>
      <c r="L2" s="44">
        <f>1.38*10^-23</f>
        <v>1.3800000000000001E-23</v>
      </c>
      <c r="M2" s="44" t="s">
        <v>101</v>
      </c>
    </row>
    <row r="3" spans="3:25" x14ac:dyDescent="0.3">
      <c r="H3" s="9" t="s">
        <v>15</v>
      </c>
      <c r="I3" s="44">
        <v>973.15</v>
      </c>
      <c r="J3" s="44" t="s">
        <v>31</v>
      </c>
      <c r="K3" s="9" t="s">
        <v>34</v>
      </c>
      <c r="L3" s="44">
        <f>6.626*10^-34</f>
        <v>6.6260000000000015E-34</v>
      </c>
      <c r="M3" s="44" t="s">
        <v>102</v>
      </c>
      <c r="O3" s="3"/>
    </row>
    <row r="4" spans="3:25" x14ac:dyDescent="0.3">
      <c r="H4" s="9" t="s">
        <v>29</v>
      </c>
      <c r="I4" s="44">
        <f>(8.314*0.01036/1000)</f>
        <v>8.613304E-5</v>
      </c>
      <c r="J4" s="44" t="s">
        <v>30</v>
      </c>
      <c r="K4" s="9" t="s">
        <v>103</v>
      </c>
      <c r="L4" s="44">
        <v>96.49</v>
      </c>
      <c r="M4" s="44"/>
      <c r="O4" s="3"/>
      <c r="R4" s="3"/>
      <c r="S4" s="15"/>
    </row>
    <row r="5" spans="3:25" ht="28.8" x14ac:dyDescent="0.3">
      <c r="H5" s="64" t="s">
        <v>104</v>
      </c>
      <c r="I5" s="44">
        <v>698.15</v>
      </c>
      <c r="J5" s="44" t="s">
        <v>31</v>
      </c>
      <c r="K5" s="6"/>
      <c r="L5" s="5"/>
      <c r="M5" s="5"/>
      <c r="O5" s="3"/>
      <c r="R5" s="3"/>
      <c r="S5" s="15"/>
    </row>
    <row r="8" spans="3:25" ht="23.4" customHeight="1" x14ac:dyDescent="0.3">
      <c r="C8" s="65" t="s">
        <v>38</v>
      </c>
      <c r="D8" s="65" t="s">
        <v>39</v>
      </c>
      <c r="E8" s="67" t="s">
        <v>40</v>
      </c>
      <c r="F8" s="65" t="s">
        <v>105</v>
      </c>
      <c r="G8" s="65" t="s">
        <v>106</v>
      </c>
      <c r="H8" s="68" t="s">
        <v>107</v>
      </c>
      <c r="I8" s="68" t="s">
        <v>108</v>
      </c>
      <c r="J8" s="65" t="s">
        <v>109</v>
      </c>
      <c r="K8" s="68" t="s">
        <v>110</v>
      </c>
      <c r="L8" s="68" t="s">
        <v>111</v>
      </c>
      <c r="M8" s="68" t="s">
        <v>45</v>
      </c>
      <c r="N8" s="77" t="s">
        <v>112</v>
      </c>
      <c r="O8" s="77" t="s">
        <v>113</v>
      </c>
      <c r="P8" s="78" t="s">
        <v>114</v>
      </c>
      <c r="Q8" s="65" t="s">
        <v>24</v>
      </c>
    </row>
    <row r="9" spans="3:25" x14ac:dyDescent="0.3">
      <c r="C9" s="12">
        <v>0</v>
      </c>
      <c r="D9" s="12" t="s">
        <v>49</v>
      </c>
      <c r="E9" s="79" t="s">
        <v>50</v>
      </c>
      <c r="F9" s="134">
        <v>0</v>
      </c>
      <c r="G9" s="134">
        <v>0.02</v>
      </c>
      <c r="H9" s="135">
        <f>2.49*10^3*(I3/I5)*10^5</f>
        <v>347080641.69591063</v>
      </c>
      <c r="I9" s="135">
        <f>1.33*10^(-6)</f>
        <v>1.33E-6</v>
      </c>
      <c r="J9" s="135">
        <f>H9/I9</f>
        <v>260962888493165.91</v>
      </c>
      <c r="K9" s="53">
        <f>H9*EXP(-F9/($I$4*$I$3))</f>
        <v>347080641.69591063</v>
      </c>
      <c r="L9" s="53">
        <f t="shared" ref="L9:L17" si="0">J9*EXP(-G9/($I$4*$I$3))</f>
        <v>205567144320703.25</v>
      </c>
      <c r="M9" s="53">
        <f t="shared" ref="M9:M25" si="1">K9/L9</f>
        <v>1.6884052305286374E-6</v>
      </c>
      <c r="N9" s="50">
        <f t="shared" ref="N9:N25" si="2">($I$4*$I$3*(-1))*LN(M9)</f>
        <v>1.1141173735148133</v>
      </c>
      <c r="O9" s="50">
        <f t="shared" ref="O9:O16" si="3">F9-G9</f>
        <v>-0.02</v>
      </c>
      <c r="P9" s="80">
        <f>(O9-N9)*$L$4/$I$3</f>
        <v>-0.11245027526120777</v>
      </c>
      <c r="Q9" s="50">
        <f>P9*1000</f>
        <v>-112.45027526120776</v>
      </c>
      <c r="R9" s="3"/>
      <c r="S9" s="2"/>
      <c r="T9" s="3"/>
      <c r="U9" s="3"/>
      <c r="V9" s="3"/>
      <c r="W9" s="2"/>
      <c r="X9" s="2"/>
      <c r="Y9" s="2"/>
    </row>
    <row r="10" spans="3:25" x14ac:dyDescent="0.3">
      <c r="C10" s="12">
        <v>2</v>
      </c>
      <c r="D10" s="12" t="s">
        <v>51</v>
      </c>
      <c r="E10" s="79" t="s">
        <v>52</v>
      </c>
      <c r="F10" s="134">
        <v>0.98</v>
      </c>
      <c r="G10" s="134">
        <f>F10-0.06</f>
        <v>0.91999999999999993</v>
      </c>
      <c r="H10" s="135">
        <f>4.84*10^(11)*(I3/I5)</f>
        <v>674646709159.92261</v>
      </c>
      <c r="I10" s="135">
        <v>1.11E-2</v>
      </c>
      <c r="J10" s="135">
        <f>H10/I10</f>
        <v>60778982807200.234</v>
      </c>
      <c r="K10" s="53">
        <f t="shared" ref="K10:K17" si="4">H10*EXP(-F10/($I$4*$I$3))</f>
        <v>5642207.5539559396</v>
      </c>
      <c r="L10" s="53">
        <f t="shared" si="0"/>
        <v>1039923094.3833315</v>
      </c>
      <c r="M10" s="53">
        <f t="shared" si="1"/>
        <v>5.4256007818556393E-3</v>
      </c>
      <c r="N10" s="50">
        <f t="shared" si="2"/>
        <v>0.43725956424508633</v>
      </c>
      <c r="O10" s="50">
        <f t="shared" si="3"/>
        <v>6.0000000000000053E-2</v>
      </c>
      <c r="P10" s="80">
        <f t="shared" ref="P10:P25" si="5">(O10-N10)*$L$4/$I$3</f>
        <v>-3.7406129942977311E-2</v>
      </c>
      <c r="Q10" s="50">
        <f t="shared" ref="Q10:Q25" si="6">P10*1000</f>
        <v>-37.406129942977309</v>
      </c>
      <c r="S10" s="2"/>
      <c r="T10" s="3"/>
      <c r="U10" s="3"/>
      <c r="V10" s="3"/>
      <c r="W10" s="2"/>
      <c r="X10" s="2"/>
      <c r="Y10" s="2"/>
    </row>
    <row r="11" spans="3:25" x14ac:dyDescent="0.3">
      <c r="C11" s="12">
        <v>4</v>
      </c>
      <c r="D11" s="12" t="s">
        <v>53</v>
      </c>
      <c r="E11" s="79" t="s">
        <v>54</v>
      </c>
      <c r="F11" s="134">
        <v>0.77</v>
      </c>
      <c r="G11" s="134">
        <f>F11-0.45</f>
        <v>0.32</v>
      </c>
      <c r="H11" s="135">
        <f>9.03*10^12*(I3/I5)</f>
        <v>12586900379574.59</v>
      </c>
      <c r="I11" s="135">
        <v>0.80800000000000005</v>
      </c>
      <c r="J11" s="135">
        <f>H11/I11</f>
        <v>15577847004423.996</v>
      </c>
      <c r="K11" s="53">
        <f t="shared" si="4"/>
        <v>1289301387.1159787</v>
      </c>
      <c r="L11" s="53">
        <f t="shared" si="0"/>
        <v>342378643868.73767</v>
      </c>
      <c r="M11" s="53">
        <f t="shared" si="1"/>
        <v>3.7657178980190003E-3</v>
      </c>
      <c r="N11" s="50">
        <f t="shared" si="2"/>
        <v>0.46786993416771366</v>
      </c>
      <c r="O11" s="50">
        <f t="shared" si="3"/>
        <v>0.45</v>
      </c>
      <c r="P11" s="80">
        <f t="shared" si="5"/>
        <v>-1.7718439581181629E-3</v>
      </c>
      <c r="Q11" s="50">
        <f t="shared" si="6"/>
        <v>-1.7718439581181629</v>
      </c>
      <c r="S11" s="2"/>
      <c r="W11" s="2"/>
      <c r="X11" s="2"/>
      <c r="Y11" s="2"/>
    </row>
    <row r="12" spans="3:25" x14ac:dyDescent="0.3">
      <c r="C12" s="12">
        <v>6</v>
      </c>
      <c r="D12" s="12" t="s">
        <v>56</v>
      </c>
      <c r="E12" s="79" t="s">
        <v>57</v>
      </c>
      <c r="F12" s="134">
        <v>0.52</v>
      </c>
      <c r="G12" s="134">
        <f>F12-(-0.14)</f>
        <v>0.66</v>
      </c>
      <c r="H12" s="135">
        <f>4.79*10^(12)*(I3/I5)</f>
        <v>6676772183628.1602</v>
      </c>
      <c r="I12" s="135">
        <v>0.28899999999999998</v>
      </c>
      <c r="J12" s="135">
        <f>H12/I12</f>
        <v>23103017936429.621</v>
      </c>
      <c r="K12" s="53">
        <f t="shared" si="4"/>
        <v>13499426295.288876</v>
      </c>
      <c r="L12" s="53">
        <f t="shared" si="0"/>
        <v>8791078008.5192089</v>
      </c>
      <c r="M12" s="53">
        <f t="shared" si="1"/>
        <v>1.5355825852309497</v>
      </c>
      <c r="N12" s="50">
        <f t="shared" si="2"/>
        <v>-3.5951380858304592E-2</v>
      </c>
      <c r="O12" s="50">
        <f t="shared" si="3"/>
        <v>-0.14000000000000001</v>
      </c>
      <c r="P12" s="80">
        <f t="shared" si="5"/>
        <v>-1.0316653404903859E-2</v>
      </c>
      <c r="Q12" s="50">
        <f t="shared" si="6"/>
        <v>-10.316653404903859</v>
      </c>
      <c r="S12" s="2"/>
      <c r="W12" s="2"/>
      <c r="X12" s="2"/>
      <c r="Y12" s="2"/>
    </row>
    <row r="13" spans="3:25" x14ac:dyDescent="0.3">
      <c r="C13" s="12">
        <v>8</v>
      </c>
      <c r="D13" s="12" t="s">
        <v>59</v>
      </c>
      <c r="E13" s="79" t="s">
        <v>60</v>
      </c>
      <c r="F13" s="134">
        <v>0.7</v>
      </c>
      <c r="G13" s="134">
        <f>F13-(-0.14)</f>
        <v>0.84</v>
      </c>
      <c r="H13" s="135">
        <f>1.07*10^13*(I3/I5)</f>
        <v>14914710305808.207</v>
      </c>
      <c r="I13" s="135">
        <v>1.1000000000000001</v>
      </c>
      <c r="J13" s="135">
        <f>H13/I13</f>
        <v>13558827550734.732</v>
      </c>
      <c r="K13" s="53">
        <f t="shared" si="4"/>
        <v>3521584753.8949628</v>
      </c>
      <c r="L13" s="53">
        <f t="shared" si="0"/>
        <v>602518136.74327135</v>
      </c>
      <c r="M13" s="53">
        <f t="shared" si="1"/>
        <v>5.844778006069359</v>
      </c>
      <c r="N13" s="50">
        <f t="shared" si="2"/>
        <v>-0.14798893433352617</v>
      </c>
      <c r="O13" s="50">
        <f t="shared" si="3"/>
        <v>-0.14000000000000001</v>
      </c>
      <c r="P13" s="80">
        <f t="shared" si="5"/>
        <v>7.9212071504078363E-4</v>
      </c>
      <c r="Q13" s="50">
        <f t="shared" si="6"/>
        <v>0.79212071504078363</v>
      </c>
      <c r="S13" s="2"/>
      <c r="W13" s="2"/>
      <c r="X13" s="2"/>
      <c r="Y13" s="2"/>
    </row>
    <row r="14" spans="3:25" x14ac:dyDescent="0.3">
      <c r="C14" s="12">
        <v>10</v>
      </c>
      <c r="D14" s="12" t="s">
        <v>62</v>
      </c>
      <c r="E14" s="79" t="s">
        <v>63</v>
      </c>
      <c r="F14" s="134">
        <v>0.77</v>
      </c>
      <c r="G14" s="134">
        <v>0</v>
      </c>
      <c r="H14" s="135">
        <f>I14*J14</f>
        <v>21365747048459.473</v>
      </c>
      <c r="I14" s="135">
        <f>EXP(0.102/(L4*I4))</f>
        <v>213827.58023186322</v>
      </c>
      <c r="J14" s="135">
        <f>4.93*10^(-6)*I2</f>
        <v>99920445.366737053</v>
      </c>
      <c r="K14" s="53">
        <f t="shared" si="4"/>
        <v>2188536214.2890773</v>
      </c>
      <c r="L14" s="53">
        <f t="shared" si="0"/>
        <v>99920445.366737053</v>
      </c>
      <c r="M14" s="53">
        <f t="shared" si="1"/>
        <v>21.902786824623465</v>
      </c>
      <c r="N14" s="50">
        <f t="shared" si="2"/>
        <v>-0.25872111099595813</v>
      </c>
      <c r="O14" s="50">
        <f t="shared" si="3"/>
        <v>0.77</v>
      </c>
      <c r="P14" s="80">
        <f t="shared" si="5"/>
        <v>0.10200000000000001</v>
      </c>
      <c r="Q14" s="50">
        <f t="shared" si="6"/>
        <v>102.00000000000001</v>
      </c>
      <c r="R14" s="3"/>
      <c r="S14" s="2"/>
      <c r="W14" s="2"/>
      <c r="X14" s="2"/>
      <c r="Y14" s="2"/>
    </row>
    <row r="15" spans="3:25" x14ac:dyDescent="0.3">
      <c r="C15" s="12">
        <v>12</v>
      </c>
      <c r="D15" s="12" t="s">
        <v>66</v>
      </c>
      <c r="E15" s="79" t="s">
        <v>67</v>
      </c>
      <c r="F15" s="134">
        <v>1.53</v>
      </c>
      <c r="G15" s="134">
        <v>1.08</v>
      </c>
      <c r="H15" s="135">
        <f>1.08*10^13*(I3/I5)</f>
        <v>15054100121750.34</v>
      </c>
      <c r="I15" s="135">
        <v>2.2599999999999998</v>
      </c>
      <c r="J15" s="135">
        <f t="shared" ref="J15:J17" si="7">H15/I15</f>
        <v>6661106248562.0977</v>
      </c>
      <c r="K15" s="53">
        <f t="shared" si="4"/>
        <v>177966.65350128102</v>
      </c>
      <c r="L15" s="53">
        <f t="shared" si="0"/>
        <v>16896384.080050908</v>
      </c>
      <c r="M15" s="53">
        <f t="shared" si="1"/>
        <v>1.0532824813766E-2</v>
      </c>
      <c r="N15" s="50">
        <f t="shared" si="2"/>
        <v>0.38165582139737292</v>
      </c>
      <c r="O15" s="50">
        <f t="shared" si="3"/>
        <v>0.44999999999999996</v>
      </c>
      <c r="P15" s="80">
        <f t="shared" si="5"/>
        <v>6.7764782339490136E-3</v>
      </c>
      <c r="Q15" s="50">
        <f t="shared" si="6"/>
        <v>6.7764782339490139</v>
      </c>
      <c r="S15" s="2"/>
      <c r="W15" s="2"/>
      <c r="X15" s="2"/>
      <c r="Y15" s="2"/>
    </row>
    <row r="16" spans="3:25" x14ac:dyDescent="0.3">
      <c r="C16" s="12">
        <v>14</v>
      </c>
      <c r="D16" s="12" t="s">
        <v>69</v>
      </c>
      <c r="E16" s="79" t="s">
        <v>70</v>
      </c>
      <c r="F16" s="134">
        <v>0.2</v>
      </c>
      <c r="G16" s="134">
        <v>1.48</v>
      </c>
      <c r="H16" s="135">
        <f>1.82*10^13*(I3/I5)</f>
        <v>25368946501468.164</v>
      </c>
      <c r="I16" s="135">
        <f>1.57</f>
        <v>1.57</v>
      </c>
      <c r="J16" s="135">
        <f t="shared" si="7"/>
        <v>16158564650616.664</v>
      </c>
      <c r="K16" s="53">
        <f t="shared" si="4"/>
        <v>2333737223754.5742</v>
      </c>
      <c r="L16" s="53">
        <f t="shared" si="0"/>
        <v>346856.01794913376</v>
      </c>
      <c r="M16" s="53">
        <f t="shared" si="1"/>
        <v>6728259.2862402508</v>
      </c>
      <c r="N16" s="50">
        <f t="shared" si="2"/>
        <v>-1.3178093243546678</v>
      </c>
      <c r="O16" s="50">
        <f t="shared" si="3"/>
        <v>-1.28</v>
      </c>
      <c r="P16" s="80">
        <f t="shared" si="5"/>
        <v>3.7488791111153406E-3</v>
      </c>
      <c r="Q16" s="50">
        <f t="shared" si="6"/>
        <v>3.7488791111153406</v>
      </c>
      <c r="R16" s="3"/>
      <c r="S16" s="2"/>
      <c r="W16" s="2"/>
      <c r="X16" s="2"/>
      <c r="Y16" s="2"/>
    </row>
    <row r="17" spans="3:26" x14ac:dyDescent="0.3">
      <c r="C17" s="12">
        <v>16</v>
      </c>
      <c r="D17" s="12" t="s">
        <v>71</v>
      </c>
      <c r="E17" s="79" t="s">
        <v>72</v>
      </c>
      <c r="F17" s="134">
        <v>1.1100000000000001</v>
      </c>
      <c r="G17" s="134">
        <f>1.11+0.24</f>
        <v>1.35</v>
      </c>
      <c r="H17" s="135">
        <f>9.46*10^12*(I3/I5)</f>
        <v>13186276588125.762</v>
      </c>
      <c r="I17" s="135">
        <v>9</v>
      </c>
      <c r="J17" s="135">
        <f t="shared" si="7"/>
        <v>1465141843125.0847</v>
      </c>
      <c r="K17" s="53">
        <f t="shared" si="4"/>
        <v>23384711.767712861</v>
      </c>
      <c r="L17" s="53">
        <f t="shared" si="0"/>
        <v>148316.31846350199</v>
      </c>
      <c r="M17" s="53">
        <f t="shared" si="1"/>
        <v>157.66782785582305</v>
      </c>
      <c r="N17" s="50">
        <f t="shared" si="2"/>
        <v>-0.42417217237851063</v>
      </c>
      <c r="O17" s="50">
        <f t="shared" ref="O17:O25" si="8">F17-G17</f>
        <v>-0.24</v>
      </c>
      <c r="P17" s="80">
        <f t="shared" si="5"/>
        <v>1.8261082991113897E-2</v>
      </c>
      <c r="Q17" s="50">
        <f t="shared" si="6"/>
        <v>18.261082991113899</v>
      </c>
      <c r="S17" s="2"/>
      <c r="W17" s="2"/>
      <c r="X17" s="2"/>
      <c r="Y17" s="2"/>
    </row>
    <row r="18" spans="3:26" x14ac:dyDescent="0.3">
      <c r="C18" s="12">
        <v>18</v>
      </c>
      <c r="D18" s="12" t="s">
        <v>73</v>
      </c>
      <c r="E18" s="79" t="s">
        <v>74</v>
      </c>
      <c r="F18" s="134">
        <v>0.71</v>
      </c>
      <c r="G18" s="134">
        <v>0</v>
      </c>
      <c r="H18" s="135">
        <f>I18*J18</f>
        <v>3.255314956164094E+19</v>
      </c>
      <c r="I18" s="135">
        <f>1/(8.05*10^(-8))</f>
        <v>12422360.248447202</v>
      </c>
      <c r="J18" s="135">
        <f>1.88*10^7*(I3/I5)*10^5</f>
        <v>2620528539712.0962</v>
      </c>
      <c r="K18" s="53">
        <f>H18*EXP(-F18/(I4*I3))</f>
        <v>6821875861876686</v>
      </c>
      <c r="L18" s="53">
        <f>J18*EXP(-G18/(I4*I3))</f>
        <v>2620528539712.0962</v>
      </c>
      <c r="M18" s="53">
        <f t="shared" si="1"/>
        <v>2603.2442534001825</v>
      </c>
      <c r="N18" s="50">
        <f t="shared" si="2"/>
        <v>-0.65920643451202821</v>
      </c>
      <c r="O18" s="50">
        <f t="shared" si="8"/>
        <v>0.71</v>
      </c>
      <c r="P18" s="80">
        <f t="shared" si="5"/>
        <v>0.13575988168942671</v>
      </c>
      <c r="Q18" s="50">
        <f t="shared" si="6"/>
        <v>135.75988168942672</v>
      </c>
      <c r="S18" s="2"/>
      <c r="T18" s="14"/>
      <c r="U18" s="3"/>
      <c r="V18" s="3"/>
      <c r="W18" s="2"/>
      <c r="X18" s="2"/>
      <c r="Y18" s="2"/>
    </row>
    <row r="19" spans="3:26" x14ac:dyDescent="0.3">
      <c r="C19" s="12">
        <v>20</v>
      </c>
      <c r="D19" s="12" t="s">
        <v>75</v>
      </c>
      <c r="E19" s="79" t="s">
        <v>76</v>
      </c>
      <c r="F19" s="134">
        <v>1.38</v>
      </c>
      <c r="G19" s="134">
        <v>1.41</v>
      </c>
      <c r="H19" s="135">
        <f>1.27*10^13*(I3/I5)</f>
        <v>17702506624650.863</v>
      </c>
      <c r="I19" s="135">
        <f>5.12/1000000</f>
        <v>5.1200000000000001E-6</v>
      </c>
      <c r="J19" s="135">
        <f t="shared" ref="J19:J24" si="9">H19/I19</f>
        <v>3.4575208251271214E+18</v>
      </c>
      <c r="K19" s="53">
        <f>H19*EXP(-F19/($I$4*$I$3))</f>
        <v>1252871.2945162046</v>
      </c>
      <c r="L19" s="53">
        <f t="shared" ref="L19:L25" si="10">J19*EXP(-G19/($I$4*$I$3))</f>
        <v>171079875699.11166</v>
      </c>
      <c r="M19" s="53">
        <f t="shared" si="1"/>
        <v>7.3233119289828326E-6</v>
      </c>
      <c r="N19" s="50">
        <f t="shared" si="2"/>
        <v>0.99112957148371539</v>
      </c>
      <c r="O19" s="50">
        <f t="shared" si="8"/>
        <v>-3.0000000000000027E-2</v>
      </c>
      <c r="P19" s="80">
        <f t="shared" si="5"/>
        <v>-0.10124728187069178</v>
      </c>
      <c r="Q19" s="50">
        <f t="shared" si="6"/>
        <v>-101.24728187069178</v>
      </c>
      <c r="S19" s="2"/>
      <c r="W19" s="2"/>
      <c r="X19" s="2"/>
      <c r="Y19" s="2"/>
    </row>
    <row r="20" spans="3:26" x14ac:dyDescent="0.3">
      <c r="C20" s="12">
        <v>22</v>
      </c>
      <c r="D20" s="12" t="s">
        <v>77</v>
      </c>
      <c r="E20" s="79" t="s">
        <v>78</v>
      </c>
      <c r="F20" s="134">
        <v>4.8843408712637228E-8</v>
      </c>
      <c r="G20" s="134">
        <v>0.02</v>
      </c>
      <c r="H20" s="135">
        <f>H9</f>
        <v>347080641.69591063</v>
      </c>
      <c r="I20" s="135">
        <f>I9</f>
        <v>1.33E-6</v>
      </c>
      <c r="J20" s="135">
        <f>H20/I20</f>
        <v>260962888493165.91</v>
      </c>
      <c r="K20" s="53">
        <f>H20*EXP(-F20/($I$4*$I$3))</f>
        <v>347080439.446778</v>
      </c>
      <c r="L20" s="53">
        <f t="shared" si="10"/>
        <v>205567144320703.25</v>
      </c>
      <c r="M20" s="53">
        <f t="shared" si="1"/>
        <v>1.6884042466694059E-6</v>
      </c>
      <c r="N20" s="50">
        <f t="shared" si="2"/>
        <v>1.114117422358222</v>
      </c>
      <c r="O20" s="50">
        <f>F20-G20</f>
        <v>-1.9999951156591287E-2</v>
      </c>
      <c r="P20" s="80">
        <f t="shared" si="5"/>
        <v>-0.11245027526120777</v>
      </c>
      <c r="Q20" s="50">
        <f t="shared" si="6"/>
        <v>-112.45027526120776</v>
      </c>
      <c r="S20" s="2"/>
      <c r="W20" s="2"/>
      <c r="X20" s="2"/>
      <c r="Y20" s="2"/>
    </row>
    <row r="21" spans="3:26" x14ac:dyDescent="0.3">
      <c r="C21" s="12">
        <v>24</v>
      </c>
      <c r="D21" s="12" t="s">
        <v>79</v>
      </c>
      <c r="E21" s="79" t="s">
        <v>80</v>
      </c>
      <c r="F21" s="134">
        <v>1.74</v>
      </c>
      <c r="G21" s="134">
        <v>0.78</v>
      </c>
      <c r="H21" s="135">
        <f>1.44*I2</f>
        <v>29185687896166.609</v>
      </c>
      <c r="I21" s="135">
        <f>H21/J21</f>
        <v>1.3211009174311927</v>
      </c>
      <c r="J21" s="135">
        <f>1.09*I2</f>
        <v>22091944310292.781</v>
      </c>
      <c r="K21" s="53">
        <f>H21*EXP(-F21/($I$4*$I$3))</f>
        <v>28170.254115162603</v>
      </c>
      <c r="L21" s="53">
        <f t="shared" si="10"/>
        <v>2008431715.5312209</v>
      </c>
      <c r="M21" s="53">
        <f>K21/L21</f>
        <v>1.4025995455718891E-5</v>
      </c>
      <c r="N21" s="50">
        <f>($I$4*$I$3*(-1))*LN(M21)</f>
        <v>0.93665892627724257</v>
      </c>
      <c r="O21" s="50">
        <f>F21-G21</f>
        <v>0.96</v>
      </c>
      <c r="P21" s="80">
        <f>(O21-N21)*$L$4/$I$3</f>
        <v>2.3143196871077032E-3</v>
      </c>
      <c r="Q21" s="50">
        <f>P21*1000</f>
        <v>2.3143196871077034</v>
      </c>
      <c r="S21" s="2"/>
      <c r="W21" s="2"/>
      <c r="X21" s="2"/>
      <c r="Y21" s="2"/>
    </row>
    <row r="22" spans="3:26" x14ac:dyDescent="0.3">
      <c r="C22" s="12">
        <v>26</v>
      </c>
      <c r="D22" s="12" t="s">
        <v>82</v>
      </c>
      <c r="E22" s="79" t="s">
        <v>83</v>
      </c>
      <c r="F22" s="134">
        <v>0.18</v>
      </c>
      <c r="G22" s="134">
        <v>0.52</v>
      </c>
      <c r="H22" s="135">
        <f>I2*0.0161691120688669</f>
        <v>327712957222.28485</v>
      </c>
      <c r="I22" s="135">
        <f>H22/J22</f>
        <v>2.5439243496204317E-2</v>
      </c>
      <c r="J22" s="135">
        <f>I2*0.635597205210895</f>
        <v>12882181707611.766</v>
      </c>
      <c r="K22" s="53">
        <f t="shared" ref="K22:K25" si="11">H22*EXP(-F22/($I$4*$I$3))</f>
        <v>38270856488.512512</v>
      </c>
      <c r="L22" s="53">
        <f t="shared" si="10"/>
        <v>26045828388.580002</v>
      </c>
      <c r="M22" s="53">
        <f t="shared" si="1"/>
        <v>1.4693660695888124</v>
      </c>
      <c r="N22" s="50">
        <f t="shared" si="2"/>
        <v>-3.2256681237245899E-2</v>
      </c>
      <c r="O22" s="50">
        <f>F22-G22</f>
        <v>-0.34</v>
      </c>
      <c r="P22" s="80">
        <f t="shared" si="5"/>
        <v>-3.0513438655313307E-2</v>
      </c>
      <c r="Q22" s="50">
        <f t="shared" si="6"/>
        <v>-30.513438655313308</v>
      </c>
      <c r="S22" s="2"/>
      <c r="W22" s="2"/>
      <c r="X22" s="2"/>
      <c r="Y22" s="2"/>
    </row>
    <row r="23" spans="3:26" x14ac:dyDescent="0.3">
      <c r="C23" s="12">
        <v>28</v>
      </c>
      <c r="D23" s="12" t="s">
        <v>84</v>
      </c>
      <c r="E23" s="79" t="s">
        <v>85</v>
      </c>
      <c r="F23" s="134">
        <f>F19+0.4</f>
        <v>1.7799999999999998</v>
      </c>
      <c r="G23" s="134">
        <f>F23-1.047</f>
        <v>0.73299999999999987</v>
      </c>
      <c r="H23" s="135">
        <f>I2</f>
        <v>20267838816782.367</v>
      </c>
      <c r="I23" s="135">
        <f>1000</f>
        <v>1000</v>
      </c>
      <c r="J23" s="135">
        <f t="shared" si="9"/>
        <v>20267838816.782368</v>
      </c>
      <c r="K23" s="53">
        <f t="shared" si="11"/>
        <v>12138.867660135211</v>
      </c>
      <c r="L23" s="53">
        <f t="shared" si="10"/>
        <v>3228118.2527650869</v>
      </c>
      <c r="M23" s="53">
        <f t="shared" si="1"/>
        <v>3.7603540854606256E-3</v>
      </c>
      <c r="N23" s="50">
        <f t="shared" si="2"/>
        <v>0.46798941131833627</v>
      </c>
      <c r="O23" s="50">
        <f>F23-G23</f>
        <v>1.0469999999999999</v>
      </c>
      <c r="P23" s="80">
        <f t="shared" si="5"/>
        <v>5.7410195449718669E-2</v>
      </c>
      <c r="Q23" s="50">
        <f t="shared" si="6"/>
        <v>57.410195449718671</v>
      </c>
      <c r="S23" s="2"/>
      <c r="W23" s="2"/>
      <c r="X23" s="2"/>
      <c r="Y23" s="2"/>
      <c r="Z23" s="2"/>
    </row>
    <row r="24" spans="3:26" ht="19.5" customHeight="1" x14ac:dyDescent="0.3">
      <c r="C24" s="12">
        <v>30</v>
      </c>
      <c r="D24" s="12" t="s">
        <v>86</v>
      </c>
      <c r="E24" s="79" t="s">
        <v>87</v>
      </c>
      <c r="F24" s="134">
        <v>1.24</v>
      </c>
      <c r="G24" s="134">
        <v>2.4300000000000002</v>
      </c>
      <c r="H24" s="135">
        <f>0.894*I2</f>
        <v>18119447902203.438</v>
      </c>
      <c r="I24" s="135">
        <v>0.52600000000000002</v>
      </c>
      <c r="J24" s="136">
        <f t="shared" si="9"/>
        <v>34447619585938.094</v>
      </c>
      <c r="K24" s="53">
        <f t="shared" si="11"/>
        <v>6813840.9099744558</v>
      </c>
      <c r="L24" s="53">
        <f t="shared" si="10"/>
        <v>8.8453677549786409</v>
      </c>
      <c r="M24" s="53">
        <f t="shared" si="1"/>
        <v>770328.73010161344</v>
      </c>
      <c r="N24" s="50">
        <f t="shared" si="2"/>
        <v>-1.1361492638239601</v>
      </c>
      <c r="O24" s="50">
        <f t="shared" si="8"/>
        <v>-1.1900000000000002</v>
      </c>
      <c r="P24" s="80">
        <f t="shared" si="5"/>
        <v>-5.3394209871305632E-3</v>
      </c>
      <c r="Q24" s="50">
        <f t="shared" si="6"/>
        <v>-5.3394209871305636</v>
      </c>
      <c r="S24" s="2"/>
      <c r="W24" s="2"/>
      <c r="X24" s="2"/>
      <c r="Y24" s="2"/>
    </row>
    <row r="25" spans="3:26" x14ac:dyDescent="0.3">
      <c r="C25" s="12">
        <v>32</v>
      </c>
      <c r="D25" s="12" t="s">
        <v>88</v>
      </c>
      <c r="E25" s="79" t="s">
        <v>89</v>
      </c>
      <c r="F25" s="134">
        <v>2.2657831699999633</v>
      </c>
      <c r="G25" s="134">
        <v>2.019334420000007</v>
      </c>
      <c r="H25" s="135">
        <f>7.945*I2</f>
        <v>161027979399335.91</v>
      </c>
      <c r="I25" s="135">
        <f>H25/J25</f>
        <v>9.0592930444697828</v>
      </c>
      <c r="J25" s="135">
        <f>0.877*I2</f>
        <v>17774894642318.137</v>
      </c>
      <c r="K25" s="53">
        <f t="shared" si="11"/>
        <v>293.29648935342084</v>
      </c>
      <c r="L25" s="53">
        <f t="shared" si="10"/>
        <v>612.52769946558863</v>
      </c>
      <c r="M25" s="53">
        <f t="shared" si="1"/>
        <v>0.4788297567755922</v>
      </c>
      <c r="N25" s="50">
        <f t="shared" si="2"/>
        <v>6.1726170399409128E-2</v>
      </c>
      <c r="O25" s="50">
        <f t="shared" si="8"/>
        <v>0.24644874999995636</v>
      </c>
      <c r="P25" s="80">
        <f t="shared" si="5"/>
        <v>1.8315657098758466E-2</v>
      </c>
      <c r="Q25" s="50">
        <f t="shared" si="6"/>
        <v>18.315657098758464</v>
      </c>
      <c r="S25" s="2"/>
      <c r="W25" s="2"/>
      <c r="X25" s="2"/>
      <c r="Y25" s="2"/>
    </row>
    <row r="28" spans="3:26" x14ac:dyDescent="0.3">
      <c r="E28" s="81" t="s">
        <v>115</v>
      </c>
      <c r="F28" s="6" t="s">
        <v>116</v>
      </c>
      <c r="J28" s="28"/>
      <c r="K28" s="3"/>
      <c r="O28" s="1"/>
      <c r="P28"/>
      <c r="Q28"/>
    </row>
    <row r="29" spans="3:26" x14ac:dyDescent="0.3">
      <c r="E29" s="82" t="s">
        <v>117</v>
      </c>
      <c r="F29" s="6"/>
      <c r="J29" s="28"/>
      <c r="K29" s="3"/>
      <c r="O29" s="1"/>
      <c r="P29"/>
      <c r="Q29"/>
    </row>
    <row r="30" spans="3:26" x14ac:dyDescent="0.3">
      <c r="E30" s="83" t="s">
        <v>118</v>
      </c>
      <c r="F30" s="6" t="s">
        <v>119</v>
      </c>
      <c r="J30" s="28"/>
      <c r="K30" s="3"/>
      <c r="O30" s="1"/>
      <c r="P30"/>
      <c r="Q30"/>
    </row>
    <row r="31" spans="3:26" x14ac:dyDescent="0.3">
      <c r="E31" s="84" t="s">
        <v>120</v>
      </c>
      <c r="F31" s="6" t="s">
        <v>121</v>
      </c>
      <c r="J31" s="28"/>
      <c r="K31" s="3"/>
      <c r="O31" s="1"/>
      <c r="P31"/>
      <c r="Q31"/>
    </row>
    <row r="32" spans="3:26" x14ac:dyDescent="0.3">
      <c r="E32" s="85" t="s">
        <v>122</v>
      </c>
      <c r="F32" s="6" t="s">
        <v>123</v>
      </c>
      <c r="J32" s="4"/>
      <c r="K32" s="3"/>
      <c r="O32" s="1"/>
      <c r="P32"/>
      <c r="Q32"/>
    </row>
    <row r="33" spans="5:17" x14ac:dyDescent="0.3">
      <c r="E33" s="86"/>
      <c r="F33" s="6" t="s">
        <v>124</v>
      </c>
      <c r="J33" s="4"/>
      <c r="K33" s="3"/>
      <c r="O33" s="1"/>
      <c r="P33"/>
      <c r="Q33"/>
    </row>
    <row r="34" spans="5:17" x14ac:dyDescent="0.3">
      <c r="E34" s="87" t="s">
        <v>125</v>
      </c>
      <c r="F34" s="6" t="s">
        <v>126</v>
      </c>
      <c r="J34" s="4"/>
      <c r="K34" s="3"/>
      <c r="O34" s="1"/>
      <c r="P34"/>
      <c r="Q34"/>
    </row>
    <row r="35" spans="5:17" x14ac:dyDescent="0.3">
      <c r="E35" s="88" t="s">
        <v>127</v>
      </c>
      <c r="F35" s="89"/>
    </row>
    <row r="36" spans="5:17" ht="39" customHeight="1" x14ac:dyDescent="0.3">
      <c r="E36" s="90" t="s">
        <v>128</v>
      </c>
      <c r="F36" s="89"/>
    </row>
    <row r="37" spans="5:17" ht="43.2" x14ac:dyDescent="0.3">
      <c r="E37" s="91" t="s">
        <v>129</v>
      </c>
      <c r="F37" s="7"/>
      <c r="J37" s="24"/>
    </row>
    <row r="38" spans="5:17" x14ac:dyDescent="0.3">
      <c r="K38" s="3"/>
    </row>
  </sheetData>
  <mergeCells count="1">
    <mergeCell ref="H1:M1"/>
  </mergeCells>
  <hyperlinks>
    <hyperlink ref="E37" r:id="rId1" xr:uid="{CA918104-068D-4472-AB3D-5A8B37C02F80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20DD-46FA-4F1E-B248-8E3403C48C8D}">
  <dimension ref="C1:T41"/>
  <sheetViews>
    <sheetView topLeftCell="A7" zoomScaleNormal="100" workbookViewId="0">
      <selection activeCell="J10" sqref="J10"/>
    </sheetView>
  </sheetViews>
  <sheetFormatPr defaultRowHeight="14.4" x14ac:dyDescent="0.3"/>
  <cols>
    <col min="3" max="4" width="11.44140625" customWidth="1"/>
    <col min="5" max="5" width="35.109375" style="4" customWidth="1"/>
    <col min="6" max="8" width="10.44140625" customWidth="1"/>
    <col min="9" max="10" width="10.44140625" style="3" customWidth="1"/>
    <col min="11" max="11" width="13" style="2" customWidth="1"/>
    <col min="12" max="12" width="14.6640625" style="1" customWidth="1"/>
    <col min="13" max="13" width="14.109375" customWidth="1"/>
    <col min="14" max="14" width="14.33203125" customWidth="1"/>
    <col min="15" max="15" width="13.33203125" customWidth="1"/>
    <col min="17" max="17" width="13" customWidth="1"/>
    <col min="18" max="19" width="15.109375" customWidth="1"/>
    <col min="20" max="20" width="13.6640625" customWidth="1"/>
    <col min="21" max="21" width="14" customWidth="1"/>
  </cols>
  <sheetData>
    <row r="1" spans="3:19" x14ac:dyDescent="0.3">
      <c r="J1" s="133" t="s">
        <v>25</v>
      </c>
      <c r="K1" s="133"/>
      <c r="L1" s="133"/>
      <c r="M1" s="133"/>
      <c r="N1" s="133"/>
    </row>
    <row r="2" spans="3:19" x14ac:dyDescent="0.3">
      <c r="F2" s="132" t="s">
        <v>26</v>
      </c>
      <c r="G2" s="132"/>
      <c r="H2" s="132"/>
      <c r="J2" s="75"/>
      <c r="K2" s="75" t="s">
        <v>27</v>
      </c>
      <c r="L2" s="76" t="s">
        <v>9</v>
      </c>
      <c r="M2" s="76" t="s">
        <v>6</v>
      </c>
      <c r="N2" s="76" t="s">
        <v>28</v>
      </c>
    </row>
    <row r="3" spans="3:19" x14ac:dyDescent="0.3">
      <c r="F3" s="42" t="s">
        <v>29</v>
      </c>
      <c r="G3" s="44">
        <f>'Original params'!I4</f>
        <v>8.613304E-5</v>
      </c>
      <c r="H3" s="12" t="s">
        <v>30</v>
      </c>
      <c r="J3" s="40" t="s">
        <v>1</v>
      </c>
      <c r="K3" s="41">
        <f>EXP((-L3)/((G3*G7*G4)))</f>
        <v>7.7103991021275107</v>
      </c>
      <c r="L3" s="11">
        <f>M3-(G4*N3/1000)</f>
        <v>-16.519952999999987</v>
      </c>
      <c r="M3" s="11">
        <f>'Gas phase thermochem.'!O23</f>
        <v>260.44241199999999</v>
      </c>
      <c r="N3" s="11">
        <f>'Gas phase thermochem.'!O28</f>
        <v>284.60398191440169</v>
      </c>
    </row>
    <row r="4" spans="3:19" x14ac:dyDescent="0.3">
      <c r="F4" s="42" t="s">
        <v>15</v>
      </c>
      <c r="G4" s="44">
        <f>'Original params'!I3</f>
        <v>973.15</v>
      </c>
      <c r="H4" s="12" t="s">
        <v>31</v>
      </c>
      <c r="J4" s="40" t="s">
        <v>2</v>
      </c>
      <c r="K4" s="41">
        <f>EXP((-L4)/((G3*G7*G4)))</f>
        <v>0.61841401459433554</v>
      </c>
      <c r="L4" s="11">
        <f>M4-(G4*N4/1000)</f>
        <v>3.8869864999999777</v>
      </c>
      <c r="M4" s="11">
        <f>'Gas phase thermochem.'!P23</f>
        <v>35.054407000000026</v>
      </c>
      <c r="N4" s="11">
        <f>'Gas phase thermochem.'!P28</f>
        <v>32.027354981246518</v>
      </c>
    </row>
    <row r="5" spans="3:19" x14ac:dyDescent="0.3">
      <c r="F5" s="42" t="s">
        <v>32</v>
      </c>
      <c r="G5" s="44">
        <f>'Original params'!L2</f>
        <v>1.3800000000000001E-23</v>
      </c>
      <c r="H5" s="12" t="s">
        <v>33</v>
      </c>
      <c r="M5" s="3"/>
      <c r="N5" s="15"/>
    </row>
    <row r="6" spans="3:19" x14ac:dyDescent="0.3">
      <c r="F6" s="42" t="s">
        <v>34</v>
      </c>
      <c r="G6" s="44">
        <f>'Original params'!L3</f>
        <v>6.6260000000000015E-34</v>
      </c>
      <c r="H6" s="12" t="s">
        <v>35</v>
      </c>
      <c r="R6" s="3"/>
    </row>
    <row r="7" spans="3:19" x14ac:dyDescent="0.3">
      <c r="F7" s="42" t="s">
        <v>36</v>
      </c>
      <c r="G7" s="44">
        <f>'Original params'!L4</f>
        <v>96.49</v>
      </c>
      <c r="H7" s="12" t="s">
        <v>37</v>
      </c>
    </row>
    <row r="9" spans="3:19" ht="33" customHeight="1" x14ac:dyDescent="0.3">
      <c r="C9" s="65" t="s">
        <v>38</v>
      </c>
      <c r="D9" s="65" t="s">
        <v>39</v>
      </c>
      <c r="E9" s="66" t="s">
        <v>40</v>
      </c>
      <c r="F9" s="65" t="s">
        <v>41</v>
      </c>
      <c r="G9" s="65" t="s">
        <v>42</v>
      </c>
      <c r="H9" s="67" t="s">
        <v>43</v>
      </c>
      <c r="I9" s="68" t="s">
        <v>44</v>
      </c>
      <c r="J9" s="68" t="s">
        <v>45</v>
      </c>
      <c r="K9" s="69" t="s">
        <v>46</v>
      </c>
      <c r="L9" s="70" t="s">
        <v>47</v>
      </c>
      <c r="M9" s="71" t="s">
        <v>48</v>
      </c>
    </row>
    <row r="10" spans="3:19" s="8" customFormat="1" x14ac:dyDescent="0.3">
      <c r="C10" s="12">
        <f>'Original params'!C9</f>
        <v>0</v>
      </c>
      <c r="D10" s="12" t="s">
        <v>49</v>
      </c>
      <c r="E10" s="20" t="s">
        <v>50</v>
      </c>
      <c r="F10" s="18">
        <v>1</v>
      </c>
      <c r="G10" s="18">
        <v>1</v>
      </c>
      <c r="H10" s="19"/>
      <c r="I10" s="19"/>
      <c r="J10" s="44">
        <f>'Original params'!M9</f>
        <v>1.6884052305286374E-6</v>
      </c>
      <c r="K10" s="43">
        <f>'Original params'!O9*$G$7</f>
        <v>-1.9298</v>
      </c>
      <c r="L10" s="55">
        <f>'Original params'!P9*1000</f>
        <v>-112.45027526120776</v>
      </c>
      <c r="M10" s="43">
        <f>'Original params'!N9*$G$7</f>
        <v>107.50118537044433</v>
      </c>
      <c r="O10" s="13"/>
      <c r="P10" s="13"/>
      <c r="Q10" s="13"/>
      <c r="R10" s="13"/>
      <c r="S10" s="13"/>
    </row>
    <row r="11" spans="3:19" x14ac:dyDescent="0.3">
      <c r="C11" s="12">
        <f>'Original params'!C10</f>
        <v>2</v>
      </c>
      <c r="D11" s="12" t="s">
        <v>51</v>
      </c>
      <c r="E11" s="21" t="s">
        <v>52</v>
      </c>
      <c r="F11" s="18">
        <v>1</v>
      </c>
      <c r="G11" s="18">
        <v>1</v>
      </c>
      <c r="H11" s="19"/>
      <c r="I11" s="19"/>
      <c r="J11" s="44">
        <f>'Original params'!M10</f>
        <v>5.4256007818556393E-3</v>
      </c>
      <c r="K11" s="43">
        <f>'Original params'!O10*$G$7</f>
        <v>5.789400000000005</v>
      </c>
      <c r="L11" s="55">
        <f>'Original params'!P10*1000</f>
        <v>-37.406129942977309</v>
      </c>
      <c r="M11" s="43">
        <f>'Original params'!N10*$G$7</f>
        <v>42.191175354008379</v>
      </c>
      <c r="O11" s="3"/>
      <c r="P11" s="3"/>
      <c r="Q11" s="3"/>
      <c r="R11" s="13"/>
      <c r="S11" s="13"/>
    </row>
    <row r="12" spans="3:19" x14ac:dyDescent="0.3">
      <c r="C12" s="12">
        <f>'Original params'!C11</f>
        <v>4</v>
      </c>
      <c r="D12" s="12" t="s">
        <v>53</v>
      </c>
      <c r="E12" s="21" t="s">
        <v>54</v>
      </c>
      <c r="F12" s="18">
        <v>1</v>
      </c>
      <c r="G12" s="18">
        <v>1</v>
      </c>
      <c r="H12" s="19"/>
      <c r="I12" s="19"/>
      <c r="J12" s="44">
        <f>'Original params'!M11</f>
        <v>3.7657178980190003E-3</v>
      </c>
      <c r="K12" s="43">
        <f>'Original params'!O11*$G$7</f>
        <v>43.420499999999997</v>
      </c>
      <c r="L12" s="55">
        <f>'Original params'!P11*1000</f>
        <v>-1.7718439581181629</v>
      </c>
      <c r="M12" s="43">
        <f>'Original params'!N11*$G$7</f>
        <v>45.14476994784269</v>
      </c>
      <c r="O12" s="65"/>
      <c r="P12" s="65" t="s">
        <v>45</v>
      </c>
      <c r="Q12" s="65" t="s">
        <v>6</v>
      </c>
      <c r="R12" s="65" t="s">
        <v>28</v>
      </c>
      <c r="S12" s="65" t="s">
        <v>55</v>
      </c>
    </row>
    <row r="13" spans="3:19" x14ac:dyDescent="0.3">
      <c r="C13" s="12">
        <f>'Original params'!C12</f>
        <v>6</v>
      </c>
      <c r="D13" s="12" t="s">
        <v>56</v>
      </c>
      <c r="E13" s="21" t="s">
        <v>57</v>
      </c>
      <c r="F13" s="18">
        <v>1</v>
      </c>
      <c r="G13" s="18">
        <v>1</v>
      </c>
      <c r="H13" s="19"/>
      <c r="I13" s="19"/>
      <c r="J13" s="44">
        <f>'Original params'!M12</f>
        <v>1.5355825852309497</v>
      </c>
      <c r="K13" s="43">
        <f>'Original params'!O12*$G$7</f>
        <v>-13.508600000000001</v>
      </c>
      <c r="L13" s="55">
        <f>'Original params'!P12*1000</f>
        <v>-10.316653404903859</v>
      </c>
      <c r="M13" s="43">
        <f>'Original params'!N12*$G$7</f>
        <v>-3.4689487390178098</v>
      </c>
      <c r="O13" s="110" t="s">
        <v>58</v>
      </c>
      <c r="P13" s="111">
        <f>J20*J21</f>
        <v>1.2364710960579333E-11</v>
      </c>
      <c r="Q13" s="112">
        <f>SUM(K20:K21)</f>
        <v>-4.8244952870994959</v>
      </c>
      <c r="R13" s="112">
        <f>SUM(L20:L21)</f>
        <v>-213.69755713189954</v>
      </c>
      <c r="S13" s="112">
        <f>R13*$G$4/1000</f>
        <v>-207.95977772290803</v>
      </c>
    </row>
    <row r="14" spans="3:19" x14ac:dyDescent="0.3">
      <c r="C14" s="12">
        <f>'Original params'!C13</f>
        <v>8</v>
      </c>
      <c r="D14" s="12" t="s">
        <v>59</v>
      </c>
      <c r="E14" s="20" t="s">
        <v>60</v>
      </c>
      <c r="F14" s="18">
        <v>1</v>
      </c>
      <c r="G14" s="19"/>
      <c r="H14" s="19"/>
      <c r="I14" s="19"/>
      <c r="J14" s="44">
        <f>'Original params'!M13</f>
        <v>5.844778006069359</v>
      </c>
      <c r="K14" s="43">
        <f>'Original params'!O13*$G$7</f>
        <v>-13.508600000000001</v>
      </c>
      <c r="L14" s="55">
        <f>'Original params'!P13*1000</f>
        <v>0.79212071504078363</v>
      </c>
      <c r="M14" s="43">
        <f>'Original params'!N13*$G$7</f>
        <v>-14.279452273841938</v>
      </c>
      <c r="O14" s="113" t="s">
        <v>61</v>
      </c>
      <c r="P14" s="111">
        <f>J23*J24</f>
        <v>5.5253367028155129E-3</v>
      </c>
      <c r="Q14" s="112">
        <f>SUM(K23:K24)</f>
        <v>68.218429999999984</v>
      </c>
      <c r="R14" s="112">
        <f>SUM(L23:L24)</f>
        <v>26.896756794405363</v>
      </c>
      <c r="S14" s="112">
        <f>R14*$G$4/1000</f>
        <v>26.174578874475579</v>
      </c>
    </row>
    <row r="15" spans="3:19" s="8" customFormat="1" x14ac:dyDescent="0.3">
      <c r="C15" s="12">
        <f>'Original params'!C14</f>
        <v>10</v>
      </c>
      <c r="D15" s="12" t="s">
        <v>62</v>
      </c>
      <c r="E15" s="20" t="s">
        <v>63</v>
      </c>
      <c r="F15" s="18" t="s">
        <v>64</v>
      </c>
      <c r="G15" s="18" t="s">
        <v>64</v>
      </c>
      <c r="H15" s="18">
        <v>-1</v>
      </c>
      <c r="I15" s="18">
        <v>-1</v>
      </c>
      <c r="J15" s="44">
        <f>'Original params'!M14</f>
        <v>21.902786824623465</v>
      </c>
      <c r="K15" s="43">
        <f>'Original params'!O14*$G$7</f>
        <v>74.297299999999993</v>
      </c>
      <c r="L15" s="55">
        <f>'Original params'!P14*1000</f>
        <v>102.00000000000001</v>
      </c>
      <c r="M15" s="43">
        <f>'Original params'!N14*$G$7</f>
        <v>-24.963999999999999</v>
      </c>
      <c r="O15" s="114" t="s">
        <v>65</v>
      </c>
      <c r="P15" s="115">
        <f>J14*J18</f>
        <v>921.53345251644441</v>
      </c>
      <c r="Q15" s="116">
        <f>SUM(K14,K18)</f>
        <v>-36.666200000000003</v>
      </c>
      <c r="R15" s="116">
        <f>SUM(L14,L18)</f>
        <v>19.053203706154683</v>
      </c>
      <c r="S15" s="116">
        <f>R15*$G$4/1000</f>
        <v>18.541625186644428</v>
      </c>
    </row>
    <row r="16" spans="3:19" x14ac:dyDescent="0.3">
      <c r="C16" s="12">
        <f>'Original params'!C15</f>
        <v>12</v>
      </c>
      <c r="D16" s="12" t="s">
        <v>66</v>
      </c>
      <c r="E16" s="20" t="s">
        <v>67</v>
      </c>
      <c r="F16" s="19"/>
      <c r="G16" s="18">
        <v>1</v>
      </c>
      <c r="H16" s="19"/>
      <c r="I16" s="19"/>
      <c r="J16" s="44">
        <f>'Original params'!M15</f>
        <v>1.0532824813766E-2</v>
      </c>
      <c r="K16" s="43">
        <f>'Original params'!O15*$G$7</f>
        <v>43.42049999999999</v>
      </c>
      <c r="L16" s="55">
        <f>'Original params'!P15*1000</f>
        <v>6.7764782339490139</v>
      </c>
      <c r="M16" s="43">
        <f>'Original params'!N15*$G$7</f>
        <v>36.825970206632512</v>
      </c>
      <c r="O16" s="117" t="s">
        <v>68</v>
      </c>
      <c r="P16" s="118">
        <f>J16*J17</f>
        <v>70867.576363562839</v>
      </c>
      <c r="Q16" s="119">
        <f>SUM(K16:K17)</f>
        <v>-80.086700000000008</v>
      </c>
      <c r="R16" s="119">
        <f>SUM(L16:L17)</f>
        <v>10.525357345064354</v>
      </c>
      <c r="S16" s="116">
        <f>R16*$G$4/1000</f>
        <v>10.242751500349375</v>
      </c>
    </row>
    <row r="17" spans="3:20" x14ac:dyDescent="0.3">
      <c r="C17" s="12">
        <f>'Original params'!C16</f>
        <v>14</v>
      </c>
      <c r="D17" s="12" t="s">
        <v>69</v>
      </c>
      <c r="E17" s="20" t="s">
        <v>70</v>
      </c>
      <c r="F17" s="19"/>
      <c r="G17" s="18">
        <v>1</v>
      </c>
      <c r="H17" s="19"/>
      <c r="I17" s="19"/>
      <c r="J17" s="44">
        <f>'Original params'!M16</f>
        <v>6728259.2862402508</v>
      </c>
      <c r="K17" s="43">
        <f>'Original params'!O16*$G$7</f>
        <v>-123.5072</v>
      </c>
      <c r="L17" s="55">
        <f>'Original params'!P16*1000</f>
        <v>3.7488791111153406</v>
      </c>
      <c r="M17" s="43">
        <f>'Original params'!N16*$G$7</f>
        <v>-127.15542170698188</v>
      </c>
      <c r="N17" s="3"/>
    </row>
    <row r="18" spans="3:20" x14ac:dyDescent="0.3">
      <c r="C18" s="12">
        <f>'Original params'!C17</f>
        <v>16</v>
      </c>
      <c r="D18" s="12" t="s">
        <v>71</v>
      </c>
      <c r="E18" s="20" t="s">
        <v>72</v>
      </c>
      <c r="F18" s="18">
        <v>1</v>
      </c>
      <c r="G18" s="19"/>
      <c r="H18" s="19"/>
      <c r="I18" s="19"/>
      <c r="J18" s="44">
        <f>'Original params'!M17</f>
        <v>157.66782785582305</v>
      </c>
      <c r="K18" s="43">
        <f>'Original params'!O17*$G$7</f>
        <v>-23.157599999999999</v>
      </c>
      <c r="L18" s="55">
        <f>'Original params'!P17*1000</f>
        <v>18.261082991113899</v>
      </c>
      <c r="M18" s="43">
        <f>'Original params'!N17*$G$7</f>
        <v>-40.928372912802487</v>
      </c>
    </row>
    <row r="19" spans="3:20" s="8" customFormat="1" x14ac:dyDescent="0.3">
      <c r="C19" s="12">
        <f>'Original params'!C18</f>
        <v>18</v>
      </c>
      <c r="D19" s="12" t="s">
        <v>73</v>
      </c>
      <c r="E19" s="20" t="s">
        <v>74</v>
      </c>
      <c r="F19" s="18">
        <v>1</v>
      </c>
      <c r="G19" s="18">
        <v>1</v>
      </c>
      <c r="H19" s="19"/>
      <c r="I19" s="19"/>
      <c r="J19" s="44">
        <f>'Original params'!M18</f>
        <v>2603.2442534001825</v>
      </c>
      <c r="K19" s="43">
        <f>'Original params'!O18*$G$7</f>
        <v>68.507899999999992</v>
      </c>
      <c r="L19" s="55">
        <f>'Original params'!P18*1000</f>
        <v>135.75988168942672</v>
      </c>
      <c r="M19" s="43">
        <f>'Original params'!N18*$G$7</f>
        <v>-63.606828866065598</v>
      </c>
    </row>
    <row r="20" spans="3:20" x14ac:dyDescent="0.3">
      <c r="C20" s="12">
        <f>'Original params'!C19</f>
        <v>20</v>
      </c>
      <c r="D20" s="12" t="s">
        <v>75</v>
      </c>
      <c r="E20" s="20" t="s">
        <v>76</v>
      </c>
      <c r="F20" s="18">
        <v>1</v>
      </c>
      <c r="G20" s="18">
        <v>1</v>
      </c>
      <c r="H20" s="19"/>
      <c r="I20" s="18">
        <v>-1</v>
      </c>
      <c r="J20" s="44">
        <f>'Original params'!M19</f>
        <v>7.3233119289828326E-6</v>
      </c>
      <c r="K20" s="43">
        <f>'Original params'!O19*$G$7</f>
        <v>-2.8947000000000025</v>
      </c>
      <c r="L20" s="55">
        <f>'Original params'!P19*1000</f>
        <v>-101.24728187069178</v>
      </c>
      <c r="M20" s="43">
        <f>'Original params'!N19*$G$7</f>
        <v>95.634092352463696</v>
      </c>
    </row>
    <row r="21" spans="3:20" s="8" customFormat="1" x14ac:dyDescent="0.3">
      <c r="C21" s="12">
        <f>'Original params'!C20</f>
        <v>22</v>
      </c>
      <c r="D21" s="12" t="s">
        <v>77</v>
      </c>
      <c r="E21" s="20" t="s">
        <v>78</v>
      </c>
      <c r="F21" s="18">
        <v>1</v>
      </c>
      <c r="G21" s="18">
        <v>1</v>
      </c>
      <c r="H21" s="18">
        <v>1</v>
      </c>
      <c r="I21" s="19"/>
      <c r="J21" s="44">
        <f>'Original params'!M20</f>
        <v>1.6884042466694059E-6</v>
      </c>
      <c r="K21" s="43">
        <f>'Original params'!O20*$G$7</f>
        <v>-1.9297952870994932</v>
      </c>
      <c r="L21" s="55">
        <f>'Original params'!P20*1000</f>
        <v>-112.45027526120776</v>
      </c>
      <c r="M21" s="43">
        <f>'Original params'!N20*$G$7</f>
        <v>107.50119008334484</v>
      </c>
      <c r="N21" s="27"/>
    </row>
    <row r="22" spans="3:20" s="8" customFormat="1" x14ac:dyDescent="0.3">
      <c r="C22" s="12">
        <f>'Original params'!C21</f>
        <v>24</v>
      </c>
      <c r="D22" s="12" t="s">
        <v>79</v>
      </c>
      <c r="E22" s="20" t="s">
        <v>80</v>
      </c>
      <c r="F22" s="18" t="s">
        <v>81</v>
      </c>
      <c r="G22" s="18">
        <v>1</v>
      </c>
      <c r="H22" s="18">
        <v>1</v>
      </c>
      <c r="I22" s="18">
        <v>1</v>
      </c>
      <c r="J22" s="44">
        <f>'Original params'!M21</f>
        <v>1.4025995455718891E-5</v>
      </c>
      <c r="K22" s="43">
        <f>'Original params'!O21*$G$7</f>
        <v>92.630399999999995</v>
      </c>
      <c r="L22" s="55">
        <f>'Original params'!P21*1000</f>
        <v>2.3143196871077034</v>
      </c>
      <c r="M22" s="43">
        <f>'Original params'!N21*$G$7</f>
        <v>90.378219796491123</v>
      </c>
      <c r="N22" s="13"/>
    </row>
    <row r="23" spans="3:20" x14ac:dyDescent="0.3">
      <c r="C23" s="12">
        <f>'Original params'!C22</f>
        <v>26</v>
      </c>
      <c r="D23" s="12" t="s">
        <v>82</v>
      </c>
      <c r="E23" s="20" t="s">
        <v>83</v>
      </c>
      <c r="F23" s="19"/>
      <c r="G23" s="19"/>
      <c r="H23" s="19"/>
      <c r="I23" s="18">
        <v>1</v>
      </c>
      <c r="J23" s="44">
        <f>'Original params'!M22</f>
        <v>1.4693660695888124</v>
      </c>
      <c r="K23" s="43">
        <f>'Original params'!O22*$G$7</f>
        <v>-32.806600000000003</v>
      </c>
      <c r="L23" s="55">
        <f>'Original params'!P22*1000</f>
        <v>-30.513438655313308</v>
      </c>
      <c r="M23" s="43">
        <f>'Original params'!N22*$G$7</f>
        <v>-3.1124471725818568</v>
      </c>
    </row>
    <row r="24" spans="3:20" x14ac:dyDescent="0.3">
      <c r="C24" s="12">
        <f>'Original params'!C23</f>
        <v>28</v>
      </c>
      <c r="D24" s="12" t="s">
        <v>84</v>
      </c>
      <c r="E24" s="20" t="s">
        <v>85</v>
      </c>
      <c r="F24" s="19"/>
      <c r="G24" s="19"/>
      <c r="H24" s="19"/>
      <c r="I24" s="18">
        <v>1</v>
      </c>
      <c r="J24" s="44">
        <f>'Original params'!M23</f>
        <v>3.7603540854606256E-3</v>
      </c>
      <c r="K24" s="43">
        <f>'Original params'!O23*$G$7</f>
        <v>101.02502999999999</v>
      </c>
      <c r="L24" s="55">
        <f>'Original params'!P23*1000</f>
        <v>57.410195449718671</v>
      </c>
      <c r="M24" s="43">
        <f>'Original params'!N23*$G$7</f>
        <v>45.156298298106265</v>
      </c>
    </row>
    <row r="25" spans="3:20" x14ac:dyDescent="0.3">
      <c r="C25" s="12">
        <f>'Original params'!C24</f>
        <v>30</v>
      </c>
      <c r="D25" s="12" t="s">
        <v>86</v>
      </c>
      <c r="E25" s="20" t="s">
        <v>87</v>
      </c>
      <c r="F25" s="19"/>
      <c r="G25" s="19"/>
      <c r="H25" s="18">
        <v>1</v>
      </c>
      <c r="I25" s="18">
        <v>1</v>
      </c>
      <c r="J25" s="44">
        <f>'Original params'!M24</f>
        <v>770328.73010161344</v>
      </c>
      <c r="K25" s="43">
        <f>'Original params'!O24*$G$7</f>
        <v>-114.82310000000001</v>
      </c>
      <c r="L25" s="55">
        <f>'Original params'!P24*1000</f>
        <v>-5.3394209871305636</v>
      </c>
      <c r="M25" s="43">
        <f>'Original params'!N24*$G$7</f>
        <v>-109.62704246637391</v>
      </c>
    </row>
    <row r="26" spans="3:20" s="8" customFormat="1" x14ac:dyDescent="0.3">
      <c r="C26" s="12">
        <f>'Original params'!C25</f>
        <v>32</v>
      </c>
      <c r="D26" s="12" t="s">
        <v>88</v>
      </c>
      <c r="E26" s="20" t="s">
        <v>89</v>
      </c>
      <c r="F26" s="19"/>
      <c r="G26" s="19"/>
      <c r="H26" s="18">
        <v>1</v>
      </c>
      <c r="I26" s="18">
        <v>1</v>
      </c>
      <c r="J26" s="44">
        <f>'Original params'!M25</f>
        <v>0.4788297567755922</v>
      </c>
      <c r="K26" s="43">
        <f>'Original params'!O25*$G$7</f>
        <v>23.77983988749579</v>
      </c>
      <c r="L26" s="55">
        <f>'Original params'!P25*1000</f>
        <v>18.315657098758464</v>
      </c>
      <c r="M26" s="43">
        <f>'Original params'!N25*$G$7</f>
        <v>5.9559581818389864</v>
      </c>
    </row>
    <row r="27" spans="3:20" x14ac:dyDescent="0.3">
      <c r="E27" s="54" t="s">
        <v>90</v>
      </c>
      <c r="F27" s="61">
        <f>PRODUCT(J10:J15,J15,J18:J22)</f>
        <v>1.0572749028642931E-17</v>
      </c>
      <c r="G27" s="61" cm="1">
        <f t="array" ref="G27">PRODUCT((J10:J26)^(G10:G26))</f>
        <v>8.1306337508867302E-16</v>
      </c>
      <c r="H27" s="61" cm="1">
        <f t="array" ref="H27">PRODUCT((J10:J26)^(H10:H26))</f>
        <v>3.9881178253980966E-7</v>
      </c>
      <c r="I27" s="61" cm="1">
        <f t="array" ref="I27">PRODUCT((J10:J26)^(I10:I26))</f>
        <v>178.21438662074834</v>
      </c>
      <c r="L27" s="2"/>
    </row>
    <row r="28" spans="3:20" x14ac:dyDescent="0.3">
      <c r="E28" s="54" t="s">
        <v>91</v>
      </c>
      <c r="F28" s="43">
        <f>(-1)*($G$3*$G$4*$G$7)*LN(F27)</f>
        <v>316.1390301128672</v>
      </c>
      <c r="G28" s="43">
        <f t="shared" ref="G28:I28" si="0">(-1)*($G$3*$G$4*$G$7)*LN(G27)</f>
        <v>281.01740379916231</v>
      </c>
      <c r="H28" s="43">
        <f t="shared" si="0"/>
        <v>119.17232559530106</v>
      </c>
      <c r="I28" s="43">
        <f t="shared" si="0"/>
        <v>-41.919105714983075</v>
      </c>
      <c r="L28" s="2"/>
    </row>
    <row r="29" spans="3:20" x14ac:dyDescent="0.3">
      <c r="E29" s="54" t="s">
        <v>92</v>
      </c>
      <c r="F29" s="43">
        <f>SUM(K10:K15,K15,K18:K22)</f>
        <v>302.01370471290045</v>
      </c>
      <c r="G29" s="43">
        <f>SUM(K10:K13,(2*K15),K16:K17,K19:K22)</f>
        <v>258.59320471290044</v>
      </c>
      <c r="H29" s="43">
        <f>SUM((-K15),K21:K22,K25:K26)</f>
        <v>-74.639955399603707</v>
      </c>
      <c r="I29" s="43">
        <f>SUM((-K15),(-K20),K22:K26)</f>
        <v>-1.5970301125042354</v>
      </c>
      <c r="J29" s="16"/>
      <c r="Q29" s="2"/>
      <c r="R29" s="2"/>
      <c r="S29" s="2"/>
      <c r="T29" s="2"/>
    </row>
    <row r="30" spans="3:20" x14ac:dyDescent="0.3">
      <c r="E30" s="54" t="s">
        <v>93</v>
      </c>
      <c r="F30" s="43">
        <f>SUM(L10:L15,L15,L18:L22)</f>
        <v>-14.515054616417482</v>
      </c>
      <c r="G30" s="43">
        <f>SUM(L10:L13,(2*L15),L16:L17,L19:L22)</f>
        <v>-23.042900977507834</v>
      </c>
      <c r="H30" s="43">
        <f>SUM((-L15),L21:L22,L25:L26)</f>
        <v>-199.15971946247214</v>
      </c>
      <c r="I30" s="43">
        <f>SUM((-L15),(-L20),L22:L26)</f>
        <v>41.434594463832738</v>
      </c>
      <c r="J30" s="16"/>
      <c r="Q30" s="2"/>
      <c r="R30" s="2"/>
      <c r="S30" s="2"/>
      <c r="T30" s="2"/>
    </row>
    <row r="31" spans="3:20" x14ac:dyDescent="0.3">
      <c r="E31" s="54" t="s">
        <v>94</v>
      </c>
      <c r="F31" s="44">
        <f>F28-($L$3)</f>
        <v>332.65898311286719</v>
      </c>
      <c r="G31" s="44">
        <f>G28-($L$3)</f>
        <v>297.5373567991623</v>
      </c>
      <c r="H31" s="43">
        <f>H28-($L$4)</f>
        <v>115.28533909530108</v>
      </c>
      <c r="I31" s="43">
        <f>I28-($L$4)</f>
        <v>-45.806092214983053</v>
      </c>
      <c r="L31" s="2"/>
      <c r="Q31" s="2"/>
      <c r="R31" s="2"/>
      <c r="S31" s="2"/>
      <c r="T31" s="2"/>
    </row>
    <row r="32" spans="3:20" x14ac:dyDescent="0.3">
      <c r="E32" s="62" t="s">
        <v>95</v>
      </c>
      <c r="F32" s="63">
        <f>F29-($M$3)</f>
        <v>41.571292712900458</v>
      </c>
      <c r="G32" s="63">
        <f>G29-($M$3)</f>
        <v>-1.8492072870995457</v>
      </c>
      <c r="H32" s="63">
        <f>H29-($M$4)</f>
        <v>-109.69436239960373</v>
      </c>
      <c r="I32" s="63">
        <f>I29-($M$4)</f>
        <v>-36.651437112504262</v>
      </c>
      <c r="Q32" s="2"/>
      <c r="R32" s="2"/>
      <c r="S32" s="2"/>
      <c r="T32" s="2"/>
    </row>
    <row r="33" spans="5:20" x14ac:dyDescent="0.3">
      <c r="E33" s="62" t="s">
        <v>96</v>
      </c>
      <c r="F33" s="63">
        <f>F30-($N$3)</f>
        <v>-299.11903653081919</v>
      </c>
      <c r="G33" s="63">
        <f>G30-($N$3)</f>
        <v>-307.64688289190951</v>
      </c>
      <c r="H33" s="63">
        <f>H30-($N$4)</f>
        <v>-231.18707444371864</v>
      </c>
      <c r="I33" s="63">
        <f>I30-($N$4)</f>
        <v>9.4072394825862204</v>
      </c>
      <c r="Q33" s="2"/>
      <c r="R33" s="2"/>
      <c r="S33" s="2"/>
      <c r="T33" s="2"/>
    </row>
    <row r="34" spans="5:20" x14ac:dyDescent="0.3">
      <c r="E34" s="54" t="s">
        <v>97</v>
      </c>
      <c r="F34" s="43">
        <f>F33*$G$4/1000</f>
        <v>-291.08769039996668</v>
      </c>
      <c r="G34" s="43">
        <f t="shared" ref="G34:H34" si="1">G33*$G$4/1000</f>
        <v>-299.38656408626173</v>
      </c>
      <c r="H34" s="43">
        <f t="shared" si="1"/>
        <v>-224.97970149490479</v>
      </c>
      <c r="I34" s="43">
        <f>I33*$G$4/1000</f>
        <v>9.154655102478781</v>
      </c>
      <c r="Q34" s="2"/>
      <c r="R34" s="2"/>
      <c r="S34" s="2"/>
      <c r="T34" s="2"/>
    </row>
    <row r="35" spans="5:20" x14ac:dyDescent="0.3">
      <c r="F35" s="2"/>
      <c r="G35" s="2"/>
      <c r="H35" s="2"/>
      <c r="I35" s="2"/>
    </row>
    <row r="36" spans="5:20" x14ac:dyDescent="0.3">
      <c r="F36" s="2"/>
      <c r="G36" s="2"/>
      <c r="H36" s="2"/>
      <c r="I36" s="2"/>
    </row>
    <row r="38" spans="5:20" x14ac:dyDescent="0.3">
      <c r="F38" s="3"/>
      <c r="G38" s="3"/>
      <c r="H38" s="3"/>
    </row>
    <row r="39" spans="5:20" x14ac:dyDescent="0.3">
      <c r="F39" s="2"/>
      <c r="G39" s="2"/>
      <c r="H39" s="2"/>
      <c r="I39" s="2"/>
    </row>
    <row r="41" spans="5:20" x14ac:dyDescent="0.3">
      <c r="F41" s="2"/>
      <c r="G41" s="2"/>
      <c r="H41" s="2"/>
      <c r="I41" s="2"/>
    </row>
  </sheetData>
  <mergeCells count="2">
    <mergeCell ref="J1:N1"/>
    <mergeCell ref="F2:H2"/>
  </mergeCells>
  <phoneticPr fontId="19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F3AD-1D8D-4E3B-B3D5-2FA60A471A95}">
  <dimension ref="C4:Q23"/>
  <sheetViews>
    <sheetView workbookViewId="0">
      <selection activeCell="R19" sqref="R19"/>
    </sheetView>
  </sheetViews>
  <sheetFormatPr defaultRowHeight="14.4" x14ac:dyDescent="0.3"/>
  <cols>
    <col min="3" max="3" width="10.88671875" customWidth="1"/>
    <col min="4" max="4" width="10.6640625" customWidth="1"/>
    <col min="5" max="5" width="13.109375" customWidth="1"/>
    <col min="7" max="7" width="10" customWidth="1"/>
    <col min="8" max="8" width="9.109375" bestFit="1" customWidth="1"/>
    <col min="9" max="9" width="11.33203125" customWidth="1"/>
    <col min="10" max="10" width="14.6640625" customWidth="1"/>
  </cols>
  <sheetData>
    <row r="4" spans="3:17" x14ac:dyDescent="0.3">
      <c r="J4" t="s">
        <v>29</v>
      </c>
      <c r="K4" s="30">
        <f>Corrections2!G5*Corrections2!G9*1000</f>
        <v>8.3109770296000001</v>
      </c>
      <c r="L4" t="s">
        <v>130</v>
      </c>
    </row>
    <row r="5" spans="3:17" x14ac:dyDescent="0.3">
      <c r="C5" s="126" t="s">
        <v>131</v>
      </c>
      <c r="D5" s="126"/>
      <c r="E5" s="126"/>
      <c r="G5" s="126" t="s">
        <v>132</v>
      </c>
      <c r="H5" s="126"/>
      <c r="I5" s="126"/>
      <c r="J5" s="126"/>
    </row>
    <row r="6" spans="3:17" ht="43.2" customHeight="1" x14ac:dyDescent="0.3">
      <c r="C6" s="93" t="s">
        <v>39</v>
      </c>
      <c r="D6" s="93" t="s">
        <v>133</v>
      </c>
      <c r="E6" s="93" t="s">
        <v>134</v>
      </c>
      <c r="G6" s="93" t="s">
        <v>39</v>
      </c>
      <c r="H6" s="93" t="s">
        <v>135</v>
      </c>
      <c r="I6" s="93" t="s">
        <v>136</v>
      </c>
      <c r="J6" s="93" t="s">
        <v>137</v>
      </c>
      <c r="O6" s="95"/>
      <c r="P6" s="95"/>
      <c r="Q6" s="95"/>
    </row>
    <row r="7" spans="3:17" x14ac:dyDescent="0.3">
      <c r="C7" s="32" t="s">
        <v>49</v>
      </c>
      <c r="D7" s="94">
        <v>-1.93</v>
      </c>
      <c r="E7" s="11">
        <v>-7.5106999999999993E-2</v>
      </c>
      <c r="G7" s="32" t="s">
        <v>49</v>
      </c>
      <c r="H7" s="94">
        <v>-112.45</v>
      </c>
      <c r="I7" s="94">
        <v>23.575855000000001</v>
      </c>
      <c r="J7" s="11">
        <f>EXP(I7/$K$4)</f>
        <v>17.059595128652781</v>
      </c>
      <c r="O7" s="95"/>
      <c r="P7" s="95"/>
      <c r="Q7" s="95"/>
    </row>
    <row r="8" spans="3:17" x14ac:dyDescent="0.3">
      <c r="C8" s="32" t="s">
        <v>51</v>
      </c>
      <c r="D8" s="94">
        <v>5.79</v>
      </c>
      <c r="E8" s="11">
        <v>-0.75098100000000001</v>
      </c>
      <c r="G8" s="32" t="s">
        <v>51</v>
      </c>
      <c r="H8" s="94">
        <v>-37.409999999999997</v>
      </c>
      <c r="I8" s="94">
        <v>2.357802</v>
      </c>
      <c r="J8" s="11">
        <f t="shared" ref="J8:J23" si="0">EXP(I8/$K$4)</f>
        <v>1.3280309159201253</v>
      </c>
      <c r="O8" s="95"/>
      <c r="P8" s="95"/>
      <c r="Q8" s="95"/>
    </row>
    <row r="9" spans="3:17" x14ac:dyDescent="0.3">
      <c r="C9" s="32" t="s">
        <v>53</v>
      </c>
      <c r="D9" s="94">
        <v>43.42</v>
      </c>
      <c r="E9" s="11">
        <v>-7.5097519999999998</v>
      </c>
      <c r="G9" s="32" t="s">
        <v>53</v>
      </c>
      <c r="H9" s="94">
        <v>-1.77</v>
      </c>
      <c r="I9" s="94">
        <v>23.575852999999999</v>
      </c>
      <c r="J9" s="11">
        <f t="shared" si="0"/>
        <v>17.059591023336871</v>
      </c>
      <c r="O9" s="95"/>
      <c r="P9" s="95"/>
      <c r="Q9" s="95"/>
    </row>
    <row r="10" spans="3:17" x14ac:dyDescent="0.3">
      <c r="C10" s="32" t="s">
        <v>56</v>
      </c>
      <c r="D10" s="94">
        <v>-13.51</v>
      </c>
      <c r="E10" s="11">
        <v>-7.5097519999999998</v>
      </c>
      <c r="G10" s="32" t="s">
        <v>56</v>
      </c>
      <c r="H10" s="94">
        <v>-10.32</v>
      </c>
      <c r="I10" s="94">
        <v>23.575852999999999</v>
      </c>
      <c r="J10" s="11">
        <f t="shared" si="0"/>
        <v>17.059591023336871</v>
      </c>
      <c r="O10" s="95"/>
      <c r="P10" s="95"/>
      <c r="Q10" s="95"/>
    </row>
    <row r="11" spans="3:17" x14ac:dyDescent="0.3">
      <c r="C11" s="32" t="s">
        <v>59</v>
      </c>
      <c r="D11" s="94">
        <v>-13.51</v>
      </c>
      <c r="E11" s="11">
        <v>-8.3231040000000007</v>
      </c>
      <c r="G11" s="32" t="s">
        <v>59</v>
      </c>
      <c r="H11" s="94">
        <v>0.79</v>
      </c>
      <c r="I11" s="94">
        <v>21.941979</v>
      </c>
      <c r="J11" s="11">
        <f t="shared" si="0"/>
        <v>14.014889213083862</v>
      </c>
      <c r="O11" s="95"/>
      <c r="P11" s="95"/>
      <c r="Q11" s="95"/>
    </row>
    <row r="12" spans="3:17" x14ac:dyDescent="0.3">
      <c r="C12" s="32" t="s">
        <v>62</v>
      </c>
      <c r="D12" s="94">
        <v>74.3</v>
      </c>
      <c r="E12" s="11">
        <v>-25</v>
      </c>
      <c r="G12" s="32" t="s">
        <v>62</v>
      </c>
      <c r="H12" s="94">
        <v>102</v>
      </c>
      <c r="I12" s="94">
        <v>-6.7140620000000002</v>
      </c>
      <c r="J12" s="11">
        <f t="shared" si="0"/>
        <v>0.44581343687220287</v>
      </c>
      <c r="O12" s="95"/>
      <c r="P12" s="95"/>
      <c r="Q12" s="95"/>
    </row>
    <row r="13" spans="3:17" x14ac:dyDescent="0.3">
      <c r="C13" s="32" t="s">
        <v>66</v>
      </c>
      <c r="D13" s="94">
        <v>43.42</v>
      </c>
      <c r="E13" s="11">
        <v>8.1323319999999999</v>
      </c>
      <c r="G13" s="32" t="s">
        <v>66</v>
      </c>
      <c r="H13" s="94">
        <v>6.78</v>
      </c>
      <c r="I13" s="94">
        <v>16.328153</v>
      </c>
      <c r="J13" s="11">
        <f t="shared" si="0"/>
        <v>7.1324089239830837</v>
      </c>
      <c r="O13" s="95"/>
      <c r="P13" s="95"/>
      <c r="Q13" s="95"/>
    </row>
    <row r="14" spans="3:17" x14ac:dyDescent="0.3">
      <c r="C14" s="32" t="s">
        <v>69</v>
      </c>
      <c r="D14" s="94">
        <v>-123.51</v>
      </c>
      <c r="E14" s="11">
        <v>8.1323319999999999</v>
      </c>
      <c r="G14" s="32" t="s">
        <v>69</v>
      </c>
      <c r="H14" s="94">
        <v>3.75</v>
      </c>
      <c r="I14" s="94">
        <v>16.328153</v>
      </c>
      <c r="J14" s="11">
        <f t="shared" si="0"/>
        <v>7.1324089239830837</v>
      </c>
      <c r="O14" s="95"/>
      <c r="P14" s="95"/>
      <c r="Q14" s="95"/>
    </row>
    <row r="15" spans="3:17" x14ac:dyDescent="0.3">
      <c r="C15" s="32" t="s">
        <v>71</v>
      </c>
      <c r="D15" s="94">
        <v>-23.16</v>
      </c>
      <c r="E15" s="11">
        <v>-0.832233</v>
      </c>
      <c r="G15" s="32" t="s">
        <v>71</v>
      </c>
      <c r="H15" s="94">
        <v>18.260000000000002</v>
      </c>
      <c r="I15" s="94">
        <v>2.1943280000000001</v>
      </c>
      <c r="J15" s="11">
        <f t="shared" si="0"/>
        <v>1.3021642422685806</v>
      </c>
      <c r="O15" s="95"/>
      <c r="P15" s="95"/>
      <c r="Q15" s="95"/>
    </row>
    <row r="16" spans="3:17" x14ac:dyDescent="0.3">
      <c r="C16" s="32" t="s">
        <v>73</v>
      </c>
      <c r="D16" s="94">
        <v>68.510000000000005</v>
      </c>
      <c r="E16" s="11">
        <v>-7.5097659999999999</v>
      </c>
      <c r="G16" s="32" t="s">
        <v>73</v>
      </c>
      <c r="H16" s="94">
        <v>135.76</v>
      </c>
      <c r="I16" s="94">
        <v>23.575855000000001</v>
      </c>
      <c r="J16" s="11">
        <f t="shared" si="0"/>
        <v>17.059595128652781</v>
      </c>
      <c r="O16" s="95"/>
      <c r="P16" s="95"/>
      <c r="Q16" s="95"/>
    </row>
    <row r="17" spans="3:17" x14ac:dyDescent="0.3">
      <c r="C17" s="32" t="s">
        <v>75</v>
      </c>
      <c r="D17" s="94">
        <v>-2.89</v>
      </c>
      <c r="E17" s="11">
        <v>24.240696</v>
      </c>
      <c r="G17" s="32" t="s">
        <v>75</v>
      </c>
      <c r="H17" s="94">
        <v>-101.25</v>
      </c>
      <c r="I17" s="94">
        <v>75.016056000000006</v>
      </c>
      <c r="J17" s="11">
        <f t="shared" si="0"/>
        <v>8317.7050442530617</v>
      </c>
      <c r="O17" s="95"/>
      <c r="P17" s="95"/>
      <c r="Q17" s="95"/>
    </row>
    <row r="18" spans="3:17" x14ac:dyDescent="0.3">
      <c r="C18" s="32" t="s">
        <v>77</v>
      </c>
      <c r="D18" s="94">
        <v>-1.93</v>
      </c>
      <c r="E18" s="11">
        <v>2.624133</v>
      </c>
      <c r="G18" s="32" t="s">
        <v>77</v>
      </c>
      <c r="H18" s="94">
        <v>-112.45</v>
      </c>
      <c r="I18" s="94">
        <v>100</v>
      </c>
      <c r="J18" s="11">
        <f t="shared" si="0"/>
        <v>168094.1765264913</v>
      </c>
      <c r="O18" s="95"/>
      <c r="P18" s="95"/>
      <c r="Q18" s="95"/>
    </row>
    <row r="19" spans="3:17" x14ac:dyDescent="0.3">
      <c r="C19" s="32" t="s">
        <v>79</v>
      </c>
      <c r="D19" s="94">
        <v>92.63</v>
      </c>
      <c r="E19" s="11">
        <v>23.065867000000001</v>
      </c>
      <c r="G19" s="32" t="s">
        <v>79</v>
      </c>
      <c r="H19" s="94">
        <v>2.31</v>
      </c>
      <c r="I19" s="94">
        <v>7.7445430000000002</v>
      </c>
      <c r="J19" s="11">
        <f t="shared" si="0"/>
        <v>2.5391898497946248</v>
      </c>
      <c r="O19" s="95"/>
      <c r="P19" s="95"/>
      <c r="Q19" s="95"/>
    </row>
    <row r="20" spans="3:17" x14ac:dyDescent="0.3">
      <c r="C20" s="32" t="s">
        <v>82</v>
      </c>
      <c r="D20" s="94">
        <v>-32.81</v>
      </c>
      <c r="E20" s="11">
        <v>-3.1751710000000002</v>
      </c>
      <c r="G20" s="32" t="s">
        <v>82</v>
      </c>
      <c r="H20" s="94">
        <v>-30.51</v>
      </c>
      <c r="I20" s="94">
        <v>-5.1437299999999997</v>
      </c>
      <c r="J20" s="11">
        <f t="shared" si="0"/>
        <v>0.53853220488563458</v>
      </c>
      <c r="O20" s="95"/>
      <c r="P20" s="95"/>
      <c r="Q20" s="95"/>
    </row>
    <row r="21" spans="3:17" x14ac:dyDescent="0.3">
      <c r="C21" s="32" t="s">
        <v>84</v>
      </c>
      <c r="D21" s="94">
        <v>101.03</v>
      </c>
      <c r="E21" s="11">
        <v>-25</v>
      </c>
      <c r="G21" s="32" t="s">
        <v>84</v>
      </c>
      <c r="H21" s="94">
        <v>57.41</v>
      </c>
      <c r="I21" s="94">
        <v>-51.440213999999997</v>
      </c>
      <c r="J21" s="33">
        <f>EXP(I21/$K$4)</f>
        <v>2.0509946377461441E-3</v>
      </c>
      <c r="O21" s="95"/>
      <c r="P21" s="95"/>
      <c r="Q21" s="95"/>
    </row>
    <row r="22" spans="3:17" x14ac:dyDescent="0.3">
      <c r="C22" s="32" t="s">
        <v>86</v>
      </c>
      <c r="D22" s="94">
        <v>-114.82</v>
      </c>
      <c r="E22" s="11">
        <v>25</v>
      </c>
      <c r="G22" s="32" t="s">
        <v>86</v>
      </c>
      <c r="H22" s="94">
        <v>-5.34</v>
      </c>
      <c r="I22" s="94">
        <v>53.865690999999998</v>
      </c>
      <c r="J22" s="11">
        <f t="shared" si="0"/>
        <v>652.7998608347483</v>
      </c>
      <c r="O22" s="95"/>
      <c r="P22" s="95"/>
      <c r="Q22" s="95"/>
    </row>
    <row r="23" spans="3:17" x14ac:dyDescent="0.3">
      <c r="C23" s="32" t="s">
        <v>88</v>
      </c>
      <c r="D23" s="94">
        <v>23.78</v>
      </c>
      <c r="E23" s="11">
        <v>25</v>
      </c>
      <c r="G23" s="32" t="s">
        <v>88</v>
      </c>
      <c r="H23" s="94">
        <v>18.32</v>
      </c>
      <c r="I23" s="94">
        <v>53.865703000000003</v>
      </c>
      <c r="J23" s="11">
        <f t="shared" si="0"/>
        <v>652.80080339588915</v>
      </c>
    </row>
  </sheetData>
  <mergeCells count="2">
    <mergeCell ref="C5:E5"/>
    <mergeCell ref="G5:J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C32C-0E81-40C0-B501-760984044811}">
  <dimension ref="F4:U41"/>
  <sheetViews>
    <sheetView topLeftCell="F1" zoomScale="94" workbookViewId="0">
      <selection activeCell="J5" sqref="J5"/>
    </sheetView>
  </sheetViews>
  <sheetFormatPr defaultRowHeight="14.4" x14ac:dyDescent="0.3"/>
  <cols>
    <col min="6" max="6" width="10.33203125" customWidth="1"/>
    <col min="7" max="7" width="11.109375" customWidth="1"/>
    <col min="10" max="10" width="9" customWidth="1"/>
    <col min="11" max="11" width="37.44140625" customWidth="1"/>
    <col min="12" max="12" width="13.88671875" customWidth="1"/>
    <col min="13" max="13" width="13.33203125" customWidth="1"/>
    <col min="14" max="14" width="11" customWidth="1"/>
    <col min="15" max="16" width="12.44140625" customWidth="1"/>
    <col min="17" max="17" width="15.5546875" customWidth="1"/>
    <col min="18" max="18" width="18.109375" customWidth="1"/>
    <col min="19" max="19" width="15.33203125" customWidth="1"/>
    <col min="20" max="20" width="12.88671875" customWidth="1"/>
    <col min="22" max="22" width="12.109375" customWidth="1"/>
    <col min="23" max="23" width="10.109375" customWidth="1"/>
    <col min="24" max="24" width="9.5546875" customWidth="1"/>
  </cols>
  <sheetData>
    <row r="4" spans="6:21" ht="49.95" customHeight="1" x14ac:dyDescent="0.3">
      <c r="F4" s="126" t="s">
        <v>26</v>
      </c>
      <c r="G4" s="126"/>
      <c r="H4" s="126"/>
      <c r="J4" s="65" t="s">
        <v>39</v>
      </c>
      <c r="K4" s="67" t="s">
        <v>40</v>
      </c>
      <c r="L4" s="93" t="s">
        <v>134</v>
      </c>
      <c r="M4" s="100" t="s">
        <v>138</v>
      </c>
      <c r="N4" s="100" t="s">
        <v>139</v>
      </c>
      <c r="O4" s="65" t="s">
        <v>140</v>
      </c>
      <c r="P4" s="65" t="s">
        <v>141</v>
      </c>
      <c r="Q4" s="93" t="s">
        <v>142</v>
      </c>
      <c r="R4" s="65" t="s">
        <v>143</v>
      </c>
      <c r="S4" s="65" t="s">
        <v>144</v>
      </c>
      <c r="T4" s="65" t="s">
        <v>113</v>
      </c>
    </row>
    <row r="5" spans="6:21" x14ac:dyDescent="0.3">
      <c r="F5" s="44" t="s">
        <v>29</v>
      </c>
      <c r="G5" s="44">
        <f>'Original params'!I4</f>
        <v>8.613304E-5</v>
      </c>
      <c r="H5" s="12" t="s">
        <v>30</v>
      </c>
      <c r="J5" s="9" t="str">
        <f>'Original params'!D9</f>
        <v>R1</v>
      </c>
      <c r="K5" s="79" t="s">
        <v>50</v>
      </c>
      <c r="L5" s="99">
        <f>Corrections1!E7</f>
        <v>-7.5106999999999993E-2</v>
      </c>
      <c r="M5" s="98">
        <v>0.92</v>
      </c>
      <c r="N5" s="98">
        <v>1</v>
      </c>
      <c r="O5" s="43">
        <f t="shared" ref="O5:O21" si="0">M5/$G$9</f>
        <v>9.5346668048502444E-3</v>
      </c>
      <c r="P5" s="43">
        <f t="shared" ref="P5:P21" si="1">N5/$G$9</f>
        <v>1.0363768266141569E-2</v>
      </c>
      <c r="Q5" s="44">
        <f>Corrections1!J7</f>
        <v>17.059595128652781</v>
      </c>
      <c r="R5" s="44">
        <f t="shared" ref="R5:R21" si="2">$G$5*$G$9*LN(Q5)</f>
        <v>2.3575855000000003E-2</v>
      </c>
      <c r="S5" s="55">
        <f t="shared" ref="S5:S21" si="3">R5*$G$6/$G$6</f>
        <v>2.3575855000000003E-2</v>
      </c>
      <c r="T5" s="43">
        <f>(O5-P5)</f>
        <v>-8.2910146129132507E-4</v>
      </c>
      <c r="U5" s="97"/>
    </row>
    <row r="6" spans="6:21" x14ac:dyDescent="0.3">
      <c r="F6" s="44" t="s">
        <v>15</v>
      </c>
      <c r="G6" s="44">
        <f>'Original params'!I3</f>
        <v>973.15</v>
      </c>
      <c r="H6" s="12" t="s">
        <v>31</v>
      </c>
      <c r="J6" s="9" t="str">
        <f>'Original params'!D10</f>
        <v>R2</v>
      </c>
      <c r="K6" s="79" t="s">
        <v>52</v>
      </c>
      <c r="L6" s="99">
        <f>Corrections1!E8</f>
        <v>-0.75098100000000001</v>
      </c>
      <c r="M6" s="92">
        <f>L6/2</f>
        <v>-0.3754905</v>
      </c>
      <c r="N6" s="92">
        <f t="shared" ref="N6:N21" si="4">-M6</f>
        <v>0.3754905</v>
      </c>
      <c r="O6" s="43">
        <f t="shared" si="0"/>
        <v>-3.8914965281376312E-3</v>
      </c>
      <c r="P6" s="43">
        <f t="shared" si="1"/>
        <v>3.8914965281376312E-3</v>
      </c>
      <c r="Q6" s="44">
        <f>Corrections1!J8</f>
        <v>1.3280309159201253</v>
      </c>
      <c r="R6" s="44">
        <f t="shared" si="2"/>
        <v>2.357802E-3</v>
      </c>
      <c r="S6" s="55">
        <f t="shared" si="3"/>
        <v>2.357802E-3</v>
      </c>
      <c r="T6" s="43">
        <f t="shared" ref="T6:T21" si="5">(O6-P6)</f>
        <v>-7.7829930562752624E-3</v>
      </c>
      <c r="U6" s="97"/>
    </row>
    <row r="7" spans="6:21" x14ac:dyDescent="0.3">
      <c r="F7" s="44" t="s">
        <v>32</v>
      </c>
      <c r="G7" s="44">
        <f>'Original params'!L2</f>
        <v>1.3800000000000001E-23</v>
      </c>
      <c r="H7" s="12" t="s">
        <v>33</v>
      </c>
      <c r="J7" s="9" t="str">
        <f>'Original params'!D11</f>
        <v>R3</v>
      </c>
      <c r="K7" s="79" t="s">
        <v>54</v>
      </c>
      <c r="L7" s="99">
        <f>Corrections1!E9</f>
        <v>-7.5097519999999998</v>
      </c>
      <c r="M7" s="92">
        <f>L7/2</f>
        <v>-3.7548759999999999</v>
      </c>
      <c r="N7" s="92">
        <f t="shared" si="4"/>
        <v>3.7548759999999999</v>
      </c>
      <c r="O7" s="43">
        <f t="shared" si="0"/>
        <v>-3.8914664732096593E-2</v>
      </c>
      <c r="P7" s="43">
        <f t="shared" si="1"/>
        <v>3.8914664732096593E-2</v>
      </c>
      <c r="Q7" s="44">
        <f>Corrections1!J9</f>
        <v>17.059591023336871</v>
      </c>
      <c r="R7" s="44">
        <f t="shared" si="2"/>
        <v>2.3575852999999997E-2</v>
      </c>
      <c r="S7" s="55">
        <f t="shared" si="3"/>
        <v>2.3575852999999997E-2</v>
      </c>
      <c r="T7" s="43">
        <f t="shared" si="5"/>
        <v>-7.7829329464193187E-2</v>
      </c>
      <c r="U7" s="97"/>
    </row>
    <row r="8" spans="6:21" x14ac:dyDescent="0.3">
      <c r="F8" s="44" t="s">
        <v>34</v>
      </c>
      <c r="G8" s="44">
        <f>'Original params'!L3</f>
        <v>6.6260000000000015E-34</v>
      </c>
      <c r="H8" s="12" t="s">
        <v>35</v>
      </c>
      <c r="J8" s="9" t="str">
        <f>'Original params'!D12</f>
        <v>R4</v>
      </c>
      <c r="K8" s="79" t="s">
        <v>57</v>
      </c>
      <c r="L8" s="99">
        <f>Corrections1!E10</f>
        <v>-7.5097519999999998</v>
      </c>
      <c r="M8" s="92">
        <f>L8/2</f>
        <v>-3.7548759999999999</v>
      </c>
      <c r="N8" s="92">
        <f t="shared" si="4"/>
        <v>3.7548759999999999</v>
      </c>
      <c r="O8" s="43">
        <f t="shared" si="0"/>
        <v>-3.8914664732096593E-2</v>
      </c>
      <c r="P8" s="43">
        <f t="shared" si="1"/>
        <v>3.8914664732096593E-2</v>
      </c>
      <c r="Q8" s="44">
        <f>Corrections1!J10</f>
        <v>17.059591023336871</v>
      </c>
      <c r="R8" s="44">
        <f t="shared" si="2"/>
        <v>2.3575852999999997E-2</v>
      </c>
      <c r="S8" s="55">
        <f t="shared" si="3"/>
        <v>2.3575852999999997E-2</v>
      </c>
      <c r="T8" s="43">
        <f t="shared" si="5"/>
        <v>-7.7829329464193187E-2</v>
      </c>
      <c r="U8" s="97"/>
    </row>
    <row r="9" spans="6:21" x14ac:dyDescent="0.3">
      <c r="F9" s="44" t="s">
        <v>103</v>
      </c>
      <c r="G9" s="44">
        <f>'Original params'!L4</f>
        <v>96.49</v>
      </c>
      <c r="H9" s="12" t="s">
        <v>37</v>
      </c>
      <c r="J9" s="9" t="str">
        <f>'Original params'!D13</f>
        <v>R5</v>
      </c>
      <c r="K9" s="79" t="s">
        <v>60</v>
      </c>
      <c r="L9" s="99">
        <f>Corrections1!E11</f>
        <v>-8.3231040000000007</v>
      </c>
      <c r="M9" s="92">
        <f>L9/2</f>
        <v>-4.1615520000000004</v>
      </c>
      <c r="N9" s="92">
        <f t="shared" si="4"/>
        <v>4.1615520000000004</v>
      </c>
      <c r="O9" s="43">
        <f t="shared" si="0"/>
        <v>-4.3129360555497986E-2</v>
      </c>
      <c r="P9" s="43">
        <f t="shared" si="1"/>
        <v>4.3129360555497986E-2</v>
      </c>
      <c r="Q9" s="44">
        <f>Corrections1!J11</f>
        <v>14.014889213083862</v>
      </c>
      <c r="R9" s="44">
        <f t="shared" si="2"/>
        <v>2.1941979E-2</v>
      </c>
      <c r="S9" s="55">
        <f t="shared" si="3"/>
        <v>2.1941979E-2</v>
      </c>
      <c r="T9" s="43">
        <f t="shared" si="5"/>
        <v>-8.6258721110995973E-2</v>
      </c>
      <c r="U9" s="97"/>
    </row>
    <row r="10" spans="6:21" x14ac:dyDescent="0.3">
      <c r="J10" s="9" t="str">
        <f>'Original params'!D14</f>
        <v>R6</v>
      </c>
      <c r="K10" s="79" t="s">
        <v>63</v>
      </c>
      <c r="L10" s="99">
        <f>Corrections1!E12</f>
        <v>-25</v>
      </c>
      <c r="M10" s="98">
        <f>L10</f>
        <v>-25</v>
      </c>
      <c r="N10" s="98">
        <v>0</v>
      </c>
      <c r="O10" s="43">
        <f t="shared" si="0"/>
        <v>-0.25909420665353922</v>
      </c>
      <c r="P10" s="43">
        <f t="shared" si="1"/>
        <v>0</v>
      </c>
      <c r="Q10" s="44">
        <f>Corrections1!J12</f>
        <v>0.44581343687220287</v>
      </c>
      <c r="R10" s="44">
        <f t="shared" si="2"/>
        <v>-6.7140620000000007E-3</v>
      </c>
      <c r="S10" s="55">
        <f t="shared" si="3"/>
        <v>-6.7140620000000007E-3</v>
      </c>
      <c r="T10" s="43">
        <f t="shared" si="5"/>
        <v>-0.25909420665353922</v>
      </c>
      <c r="U10" s="97"/>
    </row>
    <row r="11" spans="6:21" x14ac:dyDescent="0.3">
      <c r="J11" s="9" t="str">
        <f>'Original params'!D15</f>
        <v>R7</v>
      </c>
      <c r="K11" s="79" t="s">
        <v>67</v>
      </c>
      <c r="L11" s="99">
        <f>Corrections1!E13</f>
        <v>8.1323319999999999</v>
      </c>
      <c r="M11" s="92">
        <f>L11/2</f>
        <v>4.0661659999999999</v>
      </c>
      <c r="N11" s="92">
        <f t="shared" si="4"/>
        <v>-4.0661659999999999</v>
      </c>
      <c r="O11" s="43">
        <f t="shared" si="0"/>
        <v>4.2140802155663799E-2</v>
      </c>
      <c r="P11" s="43">
        <f t="shared" si="1"/>
        <v>-4.2140802155663799E-2</v>
      </c>
      <c r="Q11" s="44">
        <f>Corrections1!J13</f>
        <v>7.1324089239830837</v>
      </c>
      <c r="R11" s="44">
        <f t="shared" si="2"/>
        <v>1.6328153000000001E-2</v>
      </c>
      <c r="S11" s="55">
        <f t="shared" si="3"/>
        <v>1.6328153000000001E-2</v>
      </c>
      <c r="T11" s="43">
        <f t="shared" si="5"/>
        <v>8.4281604311327599E-2</v>
      </c>
      <c r="U11" s="97"/>
    </row>
    <row r="12" spans="6:21" x14ac:dyDescent="0.3">
      <c r="J12" s="9" t="str">
        <f>'Original params'!D16</f>
        <v>R8</v>
      </c>
      <c r="K12" s="79" t="s">
        <v>70</v>
      </c>
      <c r="L12" s="99">
        <f>Corrections1!E14</f>
        <v>8.1323319999999999</v>
      </c>
      <c r="M12" s="92">
        <f>L12/2</f>
        <v>4.0661659999999999</v>
      </c>
      <c r="N12" s="92">
        <f t="shared" si="4"/>
        <v>-4.0661659999999999</v>
      </c>
      <c r="O12" s="43">
        <f t="shared" si="0"/>
        <v>4.2140802155663799E-2</v>
      </c>
      <c r="P12" s="43">
        <f t="shared" si="1"/>
        <v>-4.2140802155663799E-2</v>
      </c>
      <c r="Q12" s="44">
        <f>Corrections1!J14</f>
        <v>7.1324089239830837</v>
      </c>
      <c r="R12" s="44">
        <f t="shared" si="2"/>
        <v>1.6328153000000001E-2</v>
      </c>
      <c r="S12" s="55">
        <f t="shared" si="3"/>
        <v>1.6328153000000001E-2</v>
      </c>
      <c r="T12" s="43">
        <f t="shared" si="5"/>
        <v>8.4281604311327599E-2</v>
      </c>
      <c r="U12" s="97"/>
    </row>
    <row r="13" spans="6:21" x14ac:dyDescent="0.3">
      <c r="F13" s="3"/>
      <c r="J13" s="9" t="str">
        <f>'Original params'!D17</f>
        <v>R9</v>
      </c>
      <c r="K13" s="79" t="s">
        <v>72</v>
      </c>
      <c r="L13" s="99">
        <f>Corrections1!E15</f>
        <v>-0.832233</v>
      </c>
      <c r="M13" s="92">
        <f>L13/2</f>
        <v>-0.4161165</v>
      </c>
      <c r="N13" s="92">
        <f t="shared" si="4"/>
        <v>0.4161165</v>
      </c>
      <c r="O13" s="43">
        <f t="shared" si="0"/>
        <v>-4.3125349777178986E-3</v>
      </c>
      <c r="P13" s="43">
        <f t="shared" si="1"/>
        <v>4.3125349777178986E-3</v>
      </c>
      <c r="Q13" s="44">
        <f>Corrections1!J15</f>
        <v>1.3021642422685806</v>
      </c>
      <c r="R13" s="44">
        <f t="shared" si="2"/>
        <v>2.1943279999999997E-3</v>
      </c>
      <c r="S13" s="55">
        <f t="shared" si="3"/>
        <v>2.1943279999999997E-3</v>
      </c>
      <c r="T13" s="43">
        <f t="shared" si="5"/>
        <v>-8.6250699554357973E-3</v>
      </c>
      <c r="U13" s="97"/>
    </row>
    <row r="14" spans="6:21" x14ac:dyDescent="0.3">
      <c r="F14" s="3"/>
      <c r="J14" s="9" t="str">
        <f>'Original params'!D18</f>
        <v>R10</v>
      </c>
      <c r="K14" s="79" t="s">
        <v>74</v>
      </c>
      <c r="L14" s="99">
        <f>Corrections1!E16</f>
        <v>-7.5097659999999999</v>
      </c>
      <c r="M14" s="92">
        <f>L14</f>
        <v>-7.5097659999999999</v>
      </c>
      <c r="N14" s="92">
        <v>0</v>
      </c>
      <c r="O14" s="43">
        <f t="shared" si="0"/>
        <v>-7.7829474556948913E-2</v>
      </c>
      <c r="P14" s="43">
        <f t="shared" si="1"/>
        <v>0</v>
      </c>
      <c r="Q14" s="44">
        <f>Corrections1!J16</f>
        <v>17.059595128652781</v>
      </c>
      <c r="R14" s="44">
        <f t="shared" si="2"/>
        <v>2.3575855000000003E-2</v>
      </c>
      <c r="S14" s="55">
        <f t="shared" si="3"/>
        <v>2.3575855000000003E-2</v>
      </c>
      <c r="T14" s="43">
        <f t="shared" si="5"/>
        <v>-7.7829474556948913E-2</v>
      </c>
      <c r="U14" s="97"/>
    </row>
    <row r="15" spans="6:21" x14ac:dyDescent="0.3">
      <c r="F15" s="3"/>
      <c r="J15" s="9" t="str">
        <f>'Original params'!D19</f>
        <v>R11</v>
      </c>
      <c r="K15" s="79" t="s">
        <v>76</v>
      </c>
      <c r="L15" s="99">
        <f>Corrections1!E17</f>
        <v>24.240696</v>
      </c>
      <c r="M15" s="92">
        <f t="shared" ref="M15:M21" si="6">L15/2</f>
        <v>12.120348</v>
      </c>
      <c r="N15" s="92">
        <f t="shared" si="4"/>
        <v>-12.120348</v>
      </c>
      <c r="O15" s="43">
        <f t="shared" si="0"/>
        <v>0.12561247797699243</v>
      </c>
      <c r="P15" s="43">
        <f t="shared" si="1"/>
        <v>-0.12561247797699243</v>
      </c>
      <c r="Q15" s="44">
        <f>Corrections1!J17</f>
        <v>8317.7050442530617</v>
      </c>
      <c r="R15" s="44">
        <f t="shared" si="2"/>
        <v>7.5016055999999998E-2</v>
      </c>
      <c r="S15" s="55">
        <f t="shared" si="3"/>
        <v>7.5016055999999998E-2</v>
      </c>
      <c r="T15" s="43">
        <f t="shared" si="5"/>
        <v>0.25122495595398486</v>
      </c>
      <c r="U15" s="97"/>
    </row>
    <row r="16" spans="6:21" x14ac:dyDescent="0.3">
      <c r="J16" s="9" t="str">
        <f>'Original params'!D20</f>
        <v>R12</v>
      </c>
      <c r="K16" s="79" t="s">
        <v>78</v>
      </c>
      <c r="L16" s="99">
        <f>Corrections1!E18</f>
        <v>2.624133</v>
      </c>
      <c r="M16" s="92">
        <f t="shared" si="6"/>
        <v>1.3120665</v>
      </c>
      <c r="N16" s="92">
        <f t="shared" si="4"/>
        <v>-1.3120665</v>
      </c>
      <c r="O16" s="43">
        <f t="shared" si="0"/>
        <v>1.3597953155767438E-2</v>
      </c>
      <c r="P16" s="43">
        <f t="shared" si="1"/>
        <v>-1.3597953155767438E-2</v>
      </c>
      <c r="Q16" s="44">
        <f>Corrections1!J18</f>
        <v>168094.1765264913</v>
      </c>
      <c r="R16" s="44">
        <f t="shared" si="2"/>
        <v>0.1</v>
      </c>
      <c r="S16" s="55">
        <f t="shared" si="3"/>
        <v>0.1</v>
      </c>
      <c r="T16" s="43">
        <f t="shared" si="5"/>
        <v>2.7195906311534877E-2</v>
      </c>
      <c r="U16" s="97"/>
    </row>
    <row r="17" spans="10:21" x14ac:dyDescent="0.3">
      <c r="J17" s="9" t="str">
        <f>'Original params'!D21</f>
        <v>R13</v>
      </c>
      <c r="K17" s="79" t="s">
        <v>80</v>
      </c>
      <c r="L17" s="99">
        <f>Corrections1!E19</f>
        <v>23.065867000000001</v>
      </c>
      <c r="M17" s="92">
        <f t="shared" si="6"/>
        <v>11.5329335</v>
      </c>
      <c r="N17" s="92">
        <f t="shared" si="4"/>
        <v>-11.5329335</v>
      </c>
      <c r="O17" s="43">
        <f t="shared" si="0"/>
        <v>0.11952465022282102</v>
      </c>
      <c r="P17" s="43">
        <f t="shared" si="1"/>
        <v>-0.11952465022282102</v>
      </c>
      <c r="Q17" s="44">
        <f>Corrections1!J19</f>
        <v>2.5391898497946248</v>
      </c>
      <c r="R17" s="44">
        <f t="shared" si="2"/>
        <v>7.7445429999999996E-3</v>
      </c>
      <c r="S17" s="55">
        <f t="shared" si="3"/>
        <v>7.7445429999999996E-3</v>
      </c>
      <c r="T17" s="43">
        <f t="shared" si="5"/>
        <v>0.23904930044564204</v>
      </c>
      <c r="U17" s="97"/>
    </row>
    <row r="18" spans="10:21" x14ac:dyDescent="0.3">
      <c r="J18" s="9" t="str">
        <f>'Original params'!D22</f>
        <v>R14</v>
      </c>
      <c r="K18" s="79" t="s">
        <v>83</v>
      </c>
      <c r="L18" s="99">
        <f>Corrections1!E20</f>
        <v>-3.1751710000000002</v>
      </c>
      <c r="M18" s="92">
        <f t="shared" si="6"/>
        <v>-1.5875855000000001</v>
      </c>
      <c r="N18" s="92">
        <f t="shared" si="4"/>
        <v>1.5875855000000001</v>
      </c>
      <c r="O18" s="43">
        <f t="shared" si="0"/>
        <v>-1.6453368224686498E-2</v>
      </c>
      <c r="P18" s="43">
        <f t="shared" si="1"/>
        <v>1.6453368224686498E-2</v>
      </c>
      <c r="Q18" s="44">
        <f>Corrections1!J20</f>
        <v>0.53853220488563458</v>
      </c>
      <c r="R18" s="44">
        <f t="shared" si="2"/>
        <v>-5.14373E-3</v>
      </c>
      <c r="S18" s="55">
        <f t="shared" si="3"/>
        <v>-5.14373E-3</v>
      </c>
      <c r="T18" s="43">
        <f t="shared" si="5"/>
        <v>-3.2906736449372996E-2</v>
      </c>
      <c r="U18" s="97"/>
    </row>
    <row r="19" spans="10:21" x14ac:dyDescent="0.3">
      <c r="J19" s="9" t="str">
        <f>'Original params'!D23</f>
        <v>R15</v>
      </c>
      <c r="K19" s="79" t="s">
        <v>85</v>
      </c>
      <c r="L19" s="99">
        <f>Corrections1!E21</f>
        <v>-25</v>
      </c>
      <c r="M19" s="92">
        <f t="shared" si="6"/>
        <v>-12.5</v>
      </c>
      <c r="N19" s="92">
        <f t="shared" si="4"/>
        <v>12.5</v>
      </c>
      <c r="O19" s="43">
        <f t="shared" si="0"/>
        <v>-0.12954710332676961</v>
      </c>
      <c r="P19" s="43">
        <f t="shared" si="1"/>
        <v>0.12954710332676961</v>
      </c>
      <c r="Q19" s="44">
        <f>Corrections1!J21</f>
        <v>2.0509946377461441E-3</v>
      </c>
      <c r="R19" s="44">
        <f t="shared" si="2"/>
        <v>-5.1440213999999998E-2</v>
      </c>
      <c r="S19" s="55">
        <f t="shared" si="3"/>
        <v>-5.1440213999999998E-2</v>
      </c>
      <c r="T19" s="43">
        <f t="shared" si="5"/>
        <v>-0.25909420665353922</v>
      </c>
      <c r="U19" s="97"/>
    </row>
    <row r="20" spans="10:21" x14ac:dyDescent="0.3">
      <c r="J20" s="9" t="str">
        <f>'Original params'!D24</f>
        <v>R16</v>
      </c>
      <c r="K20" s="79" t="s">
        <v>87</v>
      </c>
      <c r="L20" s="99">
        <f>Corrections1!E22</f>
        <v>25</v>
      </c>
      <c r="M20" s="92">
        <f t="shared" si="6"/>
        <v>12.5</v>
      </c>
      <c r="N20" s="92">
        <f t="shared" si="4"/>
        <v>-12.5</v>
      </c>
      <c r="O20" s="43">
        <f t="shared" si="0"/>
        <v>0.12954710332676961</v>
      </c>
      <c r="P20" s="43">
        <f t="shared" si="1"/>
        <v>-0.12954710332676961</v>
      </c>
      <c r="Q20" s="44">
        <f>Corrections1!J22</f>
        <v>652.7998608347483</v>
      </c>
      <c r="R20" s="44">
        <f t="shared" si="2"/>
        <v>5.3865691E-2</v>
      </c>
      <c r="S20" s="55">
        <f t="shared" si="3"/>
        <v>5.3865691E-2</v>
      </c>
      <c r="T20" s="43">
        <f t="shared" si="5"/>
        <v>0.25909420665353922</v>
      </c>
      <c r="U20" s="97"/>
    </row>
    <row r="21" spans="10:21" x14ac:dyDescent="0.3">
      <c r="J21" s="9" t="str">
        <f>'Original params'!D25</f>
        <v>R17</v>
      </c>
      <c r="K21" s="79" t="s">
        <v>89</v>
      </c>
      <c r="L21" s="99">
        <f>Corrections1!E23</f>
        <v>25</v>
      </c>
      <c r="M21" s="92">
        <f t="shared" si="6"/>
        <v>12.5</v>
      </c>
      <c r="N21" s="92">
        <f t="shared" si="4"/>
        <v>-12.5</v>
      </c>
      <c r="O21" s="43">
        <f t="shared" si="0"/>
        <v>0.12954710332676961</v>
      </c>
      <c r="P21" s="43">
        <f t="shared" si="1"/>
        <v>-0.12954710332676961</v>
      </c>
      <c r="Q21" s="44">
        <f>Corrections1!J23</f>
        <v>652.80080339588915</v>
      </c>
      <c r="R21" s="44">
        <f t="shared" si="2"/>
        <v>5.3865703000000008E-2</v>
      </c>
      <c r="S21" s="55">
        <f t="shared" si="3"/>
        <v>5.3865703000000008E-2</v>
      </c>
      <c r="T21" s="43">
        <f t="shared" si="5"/>
        <v>0.25909420665353922</v>
      </c>
      <c r="U21" s="97"/>
    </row>
    <row r="25" spans="10:21" x14ac:dyDescent="0.3">
      <c r="O25" s="29"/>
    </row>
    <row r="26" spans="10:21" x14ac:dyDescent="0.3">
      <c r="O26" s="29"/>
    </row>
    <row r="27" spans="10:21" x14ac:dyDescent="0.3">
      <c r="O27" s="29"/>
    </row>
    <row r="28" spans="10:21" x14ac:dyDescent="0.3">
      <c r="O28" s="29"/>
    </row>
    <row r="29" spans="10:21" x14ac:dyDescent="0.3">
      <c r="O29" s="29"/>
    </row>
    <row r="30" spans="10:21" x14ac:dyDescent="0.3">
      <c r="O30" s="29"/>
    </row>
    <row r="31" spans="10:21" x14ac:dyDescent="0.3">
      <c r="O31" s="29"/>
    </row>
    <row r="32" spans="10:21" x14ac:dyDescent="0.3">
      <c r="O32" s="29"/>
    </row>
    <row r="33" spans="15:15" x14ac:dyDescent="0.3">
      <c r="O33" s="29"/>
    </row>
    <row r="34" spans="15:15" x14ac:dyDescent="0.3">
      <c r="O34" s="29"/>
    </row>
    <row r="35" spans="15:15" x14ac:dyDescent="0.3">
      <c r="O35" s="29"/>
    </row>
    <row r="36" spans="15:15" x14ac:dyDescent="0.3">
      <c r="O36" s="29"/>
    </row>
    <row r="37" spans="15:15" x14ac:dyDescent="0.3">
      <c r="O37" s="29"/>
    </row>
    <row r="38" spans="15:15" x14ac:dyDescent="0.3">
      <c r="O38" s="29"/>
    </row>
    <row r="39" spans="15:15" x14ac:dyDescent="0.3">
      <c r="O39" s="29"/>
    </row>
    <row r="40" spans="15:15" x14ac:dyDescent="0.3">
      <c r="O40" s="29"/>
    </row>
    <row r="41" spans="15:15" x14ac:dyDescent="0.3">
      <c r="O41" s="29"/>
    </row>
  </sheetData>
  <mergeCells count="1">
    <mergeCell ref="F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2751-2F3C-4090-814D-01FD6928B80D}">
  <dimension ref="C1:AC39"/>
  <sheetViews>
    <sheetView topLeftCell="A9" zoomScaleNormal="100" workbookViewId="0">
      <selection activeCell="O25" sqref="O25"/>
    </sheetView>
  </sheetViews>
  <sheetFormatPr defaultRowHeight="14.4" x14ac:dyDescent="0.3"/>
  <cols>
    <col min="3" max="3" width="10.88671875" customWidth="1"/>
    <col min="4" max="4" width="9" customWidth="1"/>
    <col min="5" max="5" width="37.44140625" style="4" customWidth="1"/>
    <col min="6" max="7" width="12.44140625" customWidth="1"/>
    <col min="8" max="8" width="12.109375" style="3" bestFit="1" customWidth="1"/>
    <col min="9" max="9" width="13.6640625" style="3" customWidth="1"/>
    <col min="10" max="10" width="14.88671875" customWidth="1"/>
    <col min="11" max="11" width="12.88671875" style="3" bestFit="1" customWidth="1"/>
    <col min="12" max="12" width="11" style="3" bestFit="1" customWidth="1"/>
    <col min="13" max="13" width="12.109375" style="3" bestFit="1" customWidth="1"/>
    <col min="14" max="14" width="13.33203125" style="2" customWidth="1"/>
    <col min="15" max="15" width="13.44140625" style="2" customWidth="1"/>
    <col min="16" max="16" width="19.88671875" style="1" customWidth="1"/>
    <col min="19" max="19" width="12.5546875" customWidth="1"/>
    <col min="20" max="20" width="10.109375" customWidth="1"/>
    <col min="21" max="21" width="13.109375" customWidth="1"/>
    <col min="22" max="22" width="14.33203125" customWidth="1"/>
    <col min="23" max="23" width="10.33203125" bestFit="1" customWidth="1"/>
    <col min="24" max="24" width="9.33203125" bestFit="1" customWidth="1"/>
  </cols>
  <sheetData>
    <row r="1" spans="3:29" x14ac:dyDescent="0.3">
      <c r="G1" s="132" t="s">
        <v>26</v>
      </c>
      <c r="H1" s="132"/>
      <c r="I1" s="132"/>
      <c r="J1" s="132"/>
      <c r="K1" s="132"/>
      <c r="L1" s="132"/>
    </row>
    <row r="2" spans="3:29" x14ac:dyDescent="0.3">
      <c r="G2" s="9" t="s">
        <v>98</v>
      </c>
      <c r="H2" s="44">
        <f>(K2*H3)/K3</f>
        <v>20267838816782.367</v>
      </c>
      <c r="I2" s="44" t="s">
        <v>99</v>
      </c>
      <c r="J2" s="9" t="s">
        <v>100</v>
      </c>
      <c r="K2" s="44">
        <f>1.38*10^-23</f>
        <v>1.3800000000000001E-23</v>
      </c>
      <c r="L2" s="44" t="s">
        <v>101</v>
      </c>
    </row>
    <row r="3" spans="3:29" x14ac:dyDescent="0.3">
      <c r="G3" s="9" t="s">
        <v>15</v>
      </c>
      <c r="H3" s="44">
        <f>'Original params'!I3</f>
        <v>973.15</v>
      </c>
      <c r="I3" s="44" t="s">
        <v>31</v>
      </c>
      <c r="J3" s="9" t="s">
        <v>34</v>
      </c>
      <c r="K3" s="44">
        <f>6.626*10^-34</f>
        <v>6.6260000000000015E-34</v>
      </c>
      <c r="L3" s="44" t="s">
        <v>102</v>
      </c>
      <c r="N3" s="3"/>
    </row>
    <row r="4" spans="3:29" x14ac:dyDescent="0.3">
      <c r="G4" s="9" t="s">
        <v>29</v>
      </c>
      <c r="H4" s="44">
        <f>(8.314*0.01036/1000)</f>
        <v>8.613304E-5</v>
      </c>
      <c r="I4" s="44" t="s">
        <v>30</v>
      </c>
      <c r="J4" s="9" t="s">
        <v>103</v>
      </c>
      <c r="K4" s="44">
        <v>96.49</v>
      </c>
      <c r="L4" s="44"/>
      <c r="N4" s="3"/>
    </row>
    <row r="5" spans="3:29" ht="43.2" x14ac:dyDescent="0.3">
      <c r="G5" s="64" t="s">
        <v>104</v>
      </c>
      <c r="H5" s="44">
        <v>698.15</v>
      </c>
      <c r="I5" s="44" t="s">
        <v>31</v>
      </c>
      <c r="J5" s="12"/>
      <c r="K5" s="44"/>
      <c r="L5" s="44"/>
      <c r="N5" s="3"/>
    </row>
    <row r="8" spans="3:29" ht="22.2" customHeight="1" x14ac:dyDescent="0.3">
      <c r="C8" s="65" t="s">
        <v>38</v>
      </c>
      <c r="D8" s="65" t="s">
        <v>39</v>
      </c>
      <c r="E8" s="67" t="s">
        <v>40</v>
      </c>
      <c r="F8" s="65" t="s">
        <v>105</v>
      </c>
      <c r="G8" s="65" t="s">
        <v>106</v>
      </c>
      <c r="H8" s="68" t="s">
        <v>107</v>
      </c>
      <c r="I8" s="68" t="s">
        <v>108</v>
      </c>
      <c r="J8" s="65" t="s">
        <v>109</v>
      </c>
      <c r="K8" s="68" t="s">
        <v>110</v>
      </c>
      <c r="L8" s="68" t="s">
        <v>111</v>
      </c>
      <c r="M8" s="68" t="s">
        <v>45</v>
      </c>
      <c r="N8" s="77" t="s">
        <v>112</v>
      </c>
      <c r="O8" s="77" t="s">
        <v>113</v>
      </c>
      <c r="P8" s="78" t="s">
        <v>114</v>
      </c>
    </row>
    <row r="9" spans="3:29" s="8" customFormat="1" x14ac:dyDescent="0.3">
      <c r="C9" s="12">
        <f>'Original params'!C9</f>
        <v>0</v>
      </c>
      <c r="D9" s="12" t="str">
        <f>'Original params'!D9</f>
        <v>R1</v>
      </c>
      <c r="E9" s="105" t="s">
        <v>50</v>
      </c>
      <c r="F9" s="103">
        <f>'Original params'!F9+Corrections2!O5</f>
        <v>9.5346668048502444E-3</v>
      </c>
      <c r="G9" s="103">
        <f>'Original params'!G9+Corrections2!P5</f>
        <v>3.036376826614157E-2</v>
      </c>
      <c r="H9" s="104">
        <f>'Original params'!H9*SQRT(Corrections2!Q5)</f>
        <v>1433556293.5496213</v>
      </c>
      <c r="I9" s="104">
        <f>H9/J9</f>
        <v>2.2689261521108198E-5</v>
      </c>
      <c r="J9" s="104">
        <f>'Original params'!J9/SQRT(Corrections2!Q5)</f>
        <v>63182148621979.609</v>
      </c>
      <c r="K9" s="104">
        <f>H9*EXP(-F9/($H$4*$H$3))</f>
        <v>1279420297.8442984</v>
      </c>
      <c r="L9" s="104">
        <f t="shared" ref="L9:L17" si="0">J9*EXP(-G9/($H$4*$H$3))</f>
        <v>43981703221006.328</v>
      </c>
      <c r="M9" s="102">
        <f>K9/L9</f>
        <v>2.9089830637418967E-5</v>
      </c>
      <c r="N9" s="43">
        <f>($H$4*$H$3*(-1))*LN(M9)</f>
        <v>0.87551396079587873</v>
      </c>
      <c r="O9" s="50">
        <f>F9-G9</f>
        <v>-2.0829101461291327E-2</v>
      </c>
      <c r="P9" s="80">
        <f>(O9-N9)*$K$4/$H$3</f>
        <v>-8.8874420261207773E-2</v>
      </c>
      <c r="Q9" s="13"/>
      <c r="R9" s="13"/>
      <c r="S9" s="13"/>
      <c r="T9" s="2"/>
      <c r="U9" s="2"/>
      <c r="V9" s="27"/>
      <c r="W9" s="27"/>
      <c r="X9" s="27"/>
      <c r="Y9" s="35"/>
      <c r="Z9" s="35"/>
      <c r="AA9" s="35"/>
      <c r="AB9" s="35"/>
      <c r="AC9" s="35"/>
    </row>
    <row r="10" spans="3:29" x14ac:dyDescent="0.3">
      <c r="C10" s="12">
        <f>'Original params'!C10</f>
        <v>2</v>
      </c>
      <c r="D10" s="12" t="str">
        <f>'Original params'!D10</f>
        <v>R2</v>
      </c>
      <c r="E10" s="106" t="s">
        <v>52</v>
      </c>
      <c r="F10" s="103">
        <f>'Original params'!F10+Corrections2!O6</f>
        <v>0.9761085034718624</v>
      </c>
      <c r="G10" s="103">
        <f>'Original params'!G10+Corrections2!P6</f>
        <v>0.92389149652813751</v>
      </c>
      <c r="H10" s="104">
        <f>'Original params'!H10*SQRT(Corrections2!Q6)</f>
        <v>777464376843.27466</v>
      </c>
      <c r="I10" s="104">
        <f t="shared" ref="I10:I25" si="1">H10/J10</f>
        <v>1.4741143166713393E-2</v>
      </c>
      <c r="J10" s="104">
        <f>'Original params'!J10/SQRT(Corrections2!Q6)</f>
        <v>52741118382110.797</v>
      </c>
      <c r="K10" s="104">
        <f t="shared" ref="K10:K17" si="2">H10*EXP(-F10/($H$4*$H$3))</f>
        <v>6811079.9226652067</v>
      </c>
      <c r="L10" s="104">
        <f t="shared" si="0"/>
        <v>861458389.16641331</v>
      </c>
      <c r="M10" s="104">
        <f t="shared" ref="M10:M25" si="3">K10/L10</f>
        <v>7.9064526021459039E-3</v>
      </c>
      <c r="N10" s="43">
        <f t="shared" ref="N10:N25" si="4">($H$4*$H$3*(-1))*LN(M10)</f>
        <v>0.40569695655206101</v>
      </c>
      <c r="O10" s="50">
        <f t="shared" ref="O10:O16" si="5">F10-G10</f>
        <v>5.2217006943724886E-2</v>
      </c>
      <c r="P10" s="80">
        <f t="shared" ref="P10:P25" si="6">(O10-N10)*$K$4/$H$3</f>
        <v>-3.5048327942977298E-2</v>
      </c>
      <c r="Q10" s="3"/>
      <c r="R10" s="3"/>
      <c r="S10" s="3"/>
      <c r="T10" s="2"/>
      <c r="U10" s="2"/>
      <c r="V10" s="27"/>
      <c r="W10" s="27"/>
      <c r="X10" s="27"/>
      <c r="Y10" s="35"/>
      <c r="Z10" s="35"/>
      <c r="AA10" s="35"/>
      <c r="AB10" s="35"/>
      <c r="AC10" s="35"/>
    </row>
    <row r="11" spans="3:29" x14ac:dyDescent="0.3">
      <c r="C11" s="12">
        <f>'Original params'!C11</f>
        <v>4</v>
      </c>
      <c r="D11" s="12" t="str">
        <f>'Original params'!D11</f>
        <v>R3</v>
      </c>
      <c r="E11" s="106" t="s">
        <v>54</v>
      </c>
      <c r="F11" s="103">
        <f>'Original params'!F11+Corrections2!O7</f>
        <v>0.73108533526790342</v>
      </c>
      <c r="G11" s="103">
        <f>'Original params'!G11+Corrections2!P7</f>
        <v>0.3589146647320966</v>
      </c>
      <c r="H11" s="104">
        <f>'Original params'!H11*SQRT(Corrections2!Q7)</f>
        <v>51987999089048.039</v>
      </c>
      <c r="I11" s="104">
        <f t="shared" si="1"/>
        <v>13.784149546856195</v>
      </c>
      <c r="J11" s="104">
        <f>'Original params'!J11/SQRT(Corrections2!Q7)</f>
        <v>3771578283616.7173</v>
      </c>
      <c r="K11" s="104">
        <f t="shared" si="2"/>
        <v>8471600308.7938223</v>
      </c>
      <c r="L11" s="104">
        <f t="shared" si="0"/>
        <v>52106950796.608299</v>
      </c>
      <c r="M11" s="104">
        <f t="shared" si="3"/>
        <v>0.16258100271231468</v>
      </c>
      <c r="N11" s="43">
        <f t="shared" si="4"/>
        <v>0.15226631361687945</v>
      </c>
      <c r="O11" s="50">
        <f t="shared" si="5"/>
        <v>0.37217067053580682</v>
      </c>
      <c r="P11" s="80">
        <f t="shared" si="6"/>
        <v>2.1804009041881827E-2</v>
      </c>
      <c r="T11" s="2"/>
      <c r="U11" s="2"/>
      <c r="V11" s="27"/>
      <c r="W11" s="27"/>
      <c r="X11" s="27"/>
      <c r="Y11" s="35"/>
      <c r="Z11" s="35"/>
      <c r="AA11" s="35"/>
      <c r="AB11" s="35"/>
      <c r="AC11" s="35"/>
    </row>
    <row r="12" spans="3:29" x14ac:dyDescent="0.3">
      <c r="C12" s="12">
        <f>'Original params'!C12</f>
        <v>6</v>
      </c>
      <c r="D12" s="12" t="str">
        <f>'Original params'!D12</f>
        <v>R4</v>
      </c>
      <c r="E12" s="106" t="s">
        <v>57</v>
      </c>
      <c r="F12" s="103">
        <f>'Original params'!F12+Corrections2!O8</f>
        <v>0.48108533526790342</v>
      </c>
      <c r="G12" s="103">
        <f>'Original params'!G12+Corrections2!P8</f>
        <v>0.69891466473209662</v>
      </c>
      <c r="H12" s="104">
        <f>'Original params'!H12*SQRT(Corrections2!Q8)</f>
        <v>27577244256538.219</v>
      </c>
      <c r="I12" s="104">
        <f t="shared" si="1"/>
        <v>4.9302218057443561</v>
      </c>
      <c r="J12" s="104">
        <f>'Original params'!J12/SQRT(Corrections2!Q8)</f>
        <v>5593509854750.7754</v>
      </c>
      <c r="K12" s="104">
        <f t="shared" si="2"/>
        <v>88700551410.654236</v>
      </c>
      <c r="L12" s="104">
        <f t="shared" si="0"/>
        <v>1337923020.1480508</v>
      </c>
      <c r="M12" s="104">
        <f t="shared" si="3"/>
        <v>66.297201015973911</v>
      </c>
      <c r="N12" s="43">
        <f t="shared" si="4"/>
        <v>-0.35155500140913887</v>
      </c>
      <c r="O12" s="50">
        <f t="shared" si="5"/>
        <v>-0.2178293294641932</v>
      </c>
      <c r="P12" s="80">
        <f t="shared" si="6"/>
        <v>1.3259199595096138E-2</v>
      </c>
      <c r="Q12" s="3"/>
      <c r="T12" s="2"/>
      <c r="U12" s="2"/>
      <c r="V12" s="27"/>
      <c r="W12" s="27"/>
      <c r="X12" s="27"/>
      <c r="Y12" s="35"/>
      <c r="Z12" s="35"/>
      <c r="AA12" s="35"/>
      <c r="AB12" s="35"/>
      <c r="AC12" s="35"/>
    </row>
    <row r="13" spans="3:29" x14ac:dyDescent="0.3">
      <c r="C13" s="12">
        <f>'Original params'!C13</f>
        <v>8</v>
      </c>
      <c r="D13" s="12" t="str">
        <f>'Original params'!D13</f>
        <v>R5</v>
      </c>
      <c r="E13" s="105" t="s">
        <v>60</v>
      </c>
      <c r="F13" s="103">
        <f>'Original params'!F13+Corrections2!O9</f>
        <v>0.65687063944450197</v>
      </c>
      <c r="G13" s="103">
        <f>'Original params'!G13+Corrections2!P9</f>
        <v>0.88312936055549796</v>
      </c>
      <c r="H13" s="104">
        <f>'Original params'!H13*SQRT(Corrections2!Q9)</f>
        <v>55835403226327.367</v>
      </c>
      <c r="I13" s="104">
        <f t="shared" si="1"/>
        <v>15.41637813439225</v>
      </c>
      <c r="J13" s="104">
        <f>'Original params'!J13/SQRT(Corrections2!Q9)</f>
        <v>3621823669579.3481</v>
      </c>
      <c r="K13" s="104">
        <f t="shared" si="2"/>
        <v>22054493193.205315</v>
      </c>
      <c r="L13" s="104">
        <f t="shared" si="0"/>
        <v>96208000.143662691</v>
      </c>
      <c r="M13" s="104">
        <f t="shared" si="3"/>
        <v>229.23762223798875</v>
      </c>
      <c r="N13" s="43">
        <f t="shared" si="4"/>
        <v>-0.45554350852618869</v>
      </c>
      <c r="O13" s="50">
        <f t="shared" si="5"/>
        <v>-0.22625872111099599</v>
      </c>
      <c r="P13" s="80">
        <f t="shared" si="6"/>
        <v>2.2734099715040791E-2</v>
      </c>
      <c r="Q13" s="3"/>
      <c r="T13" s="2"/>
      <c r="U13" s="2"/>
      <c r="V13" s="27"/>
      <c r="W13" s="27"/>
      <c r="X13" s="27"/>
      <c r="Y13" s="35"/>
      <c r="Z13" s="35"/>
      <c r="AA13" s="35"/>
      <c r="AB13" s="35"/>
      <c r="AC13" s="35"/>
    </row>
    <row r="14" spans="3:29" s="8" customFormat="1" x14ac:dyDescent="0.3">
      <c r="C14" s="12">
        <f>'Original params'!C14</f>
        <v>10</v>
      </c>
      <c r="D14" s="12" t="str">
        <f>'Original params'!D14</f>
        <v>R6</v>
      </c>
      <c r="E14" s="105" t="s">
        <v>63</v>
      </c>
      <c r="F14" s="103">
        <f>'Original params'!F14+Corrections2!O10</f>
        <v>0.5109057933464608</v>
      </c>
      <c r="G14" s="103">
        <f>'Original params'!G14+Corrections2!P10</f>
        <v>0</v>
      </c>
      <c r="H14" s="104">
        <f>'Original params'!H14*SQRT(Corrections2!Q10)</f>
        <v>14265751658158.342</v>
      </c>
      <c r="I14" s="104">
        <f t="shared" si="1"/>
        <v>95327.208441233641</v>
      </c>
      <c r="J14" s="104">
        <f>'Original params'!J14/SQRT(Corrections2!Q10)</f>
        <v>149650366.26403204</v>
      </c>
      <c r="K14" s="104">
        <f t="shared" si="2"/>
        <v>32148653915.867168</v>
      </c>
      <c r="L14" s="104">
        <f t="shared" si="0"/>
        <v>149650366.26403204</v>
      </c>
      <c r="M14" s="102">
        <f t="shared" si="3"/>
        <v>214.82509343910633</v>
      </c>
      <c r="N14" s="43">
        <f t="shared" si="4"/>
        <v>-0.45010063804228417</v>
      </c>
      <c r="O14" s="43">
        <f t="shared" si="5"/>
        <v>0.5109057933464608</v>
      </c>
      <c r="P14" s="55">
        <f t="shared" si="6"/>
        <v>9.5285938000000001E-2</v>
      </c>
      <c r="Q14" s="13"/>
      <c r="S14" s="4"/>
      <c r="T14"/>
      <c r="U14"/>
      <c r="V14" s="3"/>
      <c r="W14" s="27"/>
      <c r="X14" s="27"/>
      <c r="Y14" s="35"/>
      <c r="Z14" s="35"/>
      <c r="AA14" s="35"/>
      <c r="AB14" s="35"/>
      <c r="AC14" s="35"/>
    </row>
    <row r="15" spans="3:29" x14ac:dyDescent="0.3">
      <c r="C15" s="12">
        <f>'Original params'!C15</f>
        <v>12</v>
      </c>
      <c r="D15" s="12" t="str">
        <f>'Original params'!D15</f>
        <v>R7</v>
      </c>
      <c r="E15" s="105" t="s">
        <v>67</v>
      </c>
      <c r="F15" s="101">
        <f>'Original params'!F15+Corrections2!O11</f>
        <v>1.5721408021556638</v>
      </c>
      <c r="G15" s="101">
        <f>'Original params'!G15+Corrections2!P11</f>
        <v>1.0378591978443363</v>
      </c>
      <c r="H15" s="104">
        <f>'Original params'!H15*SQRT(Corrections2!Q11)</f>
        <v>40204338185458.734</v>
      </c>
      <c r="I15" s="104">
        <f t="shared" si="1"/>
        <v>16.119244168201764</v>
      </c>
      <c r="J15" s="104">
        <f>'Original params'!J15/SQRT(Corrections2!Q11)</f>
        <v>2494182591065.2397</v>
      </c>
      <c r="K15" s="102">
        <f t="shared" si="2"/>
        <v>287484.62244125654</v>
      </c>
      <c r="L15" s="102">
        <f t="shared" si="0"/>
        <v>10459665.304753572</v>
      </c>
      <c r="M15" s="102">
        <f t="shared" si="3"/>
        <v>2.7485068983096838E-2</v>
      </c>
      <c r="N15" s="50">
        <f t="shared" si="4"/>
        <v>0.30125982085897479</v>
      </c>
      <c r="O15" s="50">
        <f t="shared" si="5"/>
        <v>0.53428160431132743</v>
      </c>
      <c r="P15" s="80">
        <f t="shared" si="6"/>
        <v>2.3104631233949038E-2</v>
      </c>
      <c r="S15" s="22"/>
      <c r="U15" s="2"/>
      <c r="V15" s="30"/>
      <c r="W15" s="27"/>
      <c r="X15" s="27"/>
      <c r="Y15" s="35"/>
      <c r="Z15" s="35"/>
      <c r="AA15" s="35"/>
      <c r="AB15" s="35"/>
      <c r="AC15" s="35"/>
    </row>
    <row r="16" spans="3:29" x14ac:dyDescent="0.3">
      <c r="C16" s="12">
        <f>'Original params'!C16</f>
        <v>14</v>
      </c>
      <c r="D16" s="12" t="str">
        <f>'Original params'!D16</f>
        <v>R8</v>
      </c>
      <c r="E16" s="105" t="s">
        <v>70</v>
      </c>
      <c r="F16" s="101">
        <f>'Original params'!F16+Corrections2!O12</f>
        <v>0.2421408021556638</v>
      </c>
      <c r="G16" s="101">
        <f>'Original params'!G16+Corrections2!P12</f>
        <v>1.4378591978443362</v>
      </c>
      <c r="H16" s="104">
        <f>'Original params'!H16*SQRT(Corrections2!Q12)</f>
        <v>67751755090310.086</v>
      </c>
      <c r="I16" s="104">
        <f t="shared" si="1"/>
        <v>11.197882010653441</v>
      </c>
      <c r="J16" s="104">
        <f>'Original params'!J16/SQRT(Corrections2!Q12)</f>
        <v>6050408016967.1748</v>
      </c>
      <c r="K16" s="102">
        <f t="shared" si="2"/>
        <v>3769883579023.1807</v>
      </c>
      <c r="L16" s="102">
        <f t="shared" si="0"/>
        <v>214720.37090888651</v>
      </c>
      <c r="M16" s="102">
        <f t="shared" si="3"/>
        <v>17557177.099991489</v>
      </c>
      <c r="N16" s="50">
        <f t="shared" si="4"/>
        <v>-1.3982053248930657</v>
      </c>
      <c r="O16" s="50">
        <f t="shared" si="5"/>
        <v>-1.1957183956886723</v>
      </c>
      <c r="P16" s="80">
        <f t="shared" si="6"/>
        <v>2.0077032111115365E-2</v>
      </c>
      <c r="S16" s="4"/>
      <c r="U16" s="2"/>
      <c r="V16" s="30"/>
      <c r="W16" s="27"/>
      <c r="X16" s="27"/>
      <c r="Y16" s="35"/>
      <c r="Z16" s="35"/>
      <c r="AA16" s="35"/>
      <c r="AB16" s="35"/>
      <c r="AC16" s="35"/>
    </row>
    <row r="17" spans="3:29" x14ac:dyDescent="0.3">
      <c r="C17" s="12">
        <f>'Original params'!C17</f>
        <v>16</v>
      </c>
      <c r="D17" s="12" t="str">
        <f>'Original params'!D17</f>
        <v>R9</v>
      </c>
      <c r="E17" s="105" t="s">
        <v>72</v>
      </c>
      <c r="F17" s="101">
        <f>'Original params'!F17+Corrections2!O13</f>
        <v>1.1056874650222821</v>
      </c>
      <c r="G17" s="101">
        <f>'Original params'!G17+Corrections2!P13</f>
        <v>1.3543125349777181</v>
      </c>
      <c r="H17" s="104">
        <f>'Original params'!H17*SQRT(Corrections2!Q13)</f>
        <v>15047178181167.021</v>
      </c>
      <c r="I17" s="104">
        <f t="shared" si="1"/>
        <v>11.719478180417228</v>
      </c>
      <c r="J17" s="104">
        <f>'Original params'!J17/SQRT(Corrections2!Q13)</f>
        <v>1283946089537.5227</v>
      </c>
      <c r="K17" s="102">
        <f t="shared" si="2"/>
        <v>28093719.127771895</v>
      </c>
      <c r="L17" s="102">
        <f t="shared" si="0"/>
        <v>123455.86363781596</v>
      </c>
      <c r="M17" s="102">
        <f t="shared" si="3"/>
        <v>227.56083267288784</v>
      </c>
      <c r="N17" s="50">
        <f t="shared" si="4"/>
        <v>-0.45492813976580476</v>
      </c>
      <c r="O17" s="50">
        <f t="shared" ref="O17:O25" si="7">F17-G17</f>
        <v>-0.24862506995543598</v>
      </c>
      <c r="P17" s="80">
        <f t="shared" si="6"/>
        <v>2.0455410991113889E-2</v>
      </c>
      <c r="S17" s="107"/>
      <c r="T17" s="3"/>
      <c r="U17" s="2"/>
      <c r="V17" s="2"/>
      <c r="W17" s="27"/>
      <c r="X17" s="27"/>
      <c r="Y17" s="35"/>
      <c r="Z17" s="35"/>
      <c r="AA17" s="35"/>
      <c r="AB17" s="35"/>
      <c r="AC17" s="35"/>
    </row>
    <row r="18" spans="3:29" s="8" customFormat="1" x14ac:dyDescent="0.3">
      <c r="C18" s="12">
        <f>'Original params'!C18</f>
        <v>18</v>
      </c>
      <c r="D18" s="12" t="str">
        <f>'Original params'!D18</f>
        <v>R10</v>
      </c>
      <c r="E18" s="105" t="s">
        <v>74</v>
      </c>
      <c r="F18" s="101">
        <f>'Original params'!F18+Corrections2!O14</f>
        <v>0.63217052544305108</v>
      </c>
      <c r="G18" s="101">
        <f>'Original params'!G18+Corrections2!P14</f>
        <v>0</v>
      </c>
      <c r="H18" s="104">
        <f>'Original params'!H18*SQRT(Corrections2!Q14)</f>
        <v>1.3445512893179113E+20</v>
      </c>
      <c r="I18" s="104">
        <f t="shared" si="1"/>
        <v>211920436.38077983</v>
      </c>
      <c r="J18" s="104">
        <f>'Original params'!J18/SQRT(Corrections2!Q14)</f>
        <v>634460419334.93091</v>
      </c>
      <c r="K18" s="102">
        <f>H18*EXP(-F18/(H4*H3))</f>
        <v>7.130866793222724E+16</v>
      </c>
      <c r="L18" s="102">
        <f>J18*EXP(-G18/(H4*H3))</f>
        <v>634460419334.93091</v>
      </c>
      <c r="M18" s="102">
        <f t="shared" si="3"/>
        <v>112392.6186080703</v>
      </c>
      <c r="N18" s="50">
        <f t="shared" si="4"/>
        <v>-0.97481022032662046</v>
      </c>
      <c r="O18" s="50">
        <f>F18-G18</f>
        <v>0.63217052544305108</v>
      </c>
      <c r="P18" s="80">
        <f t="shared" si="6"/>
        <v>0.15933573668942669</v>
      </c>
      <c r="Q18" s="13"/>
      <c r="R18" s="26"/>
      <c r="S18" s="22"/>
      <c r="T18" s="3"/>
      <c r="U18" s="3"/>
      <c r="V18" s="3"/>
      <c r="W18" s="27"/>
      <c r="X18" s="27"/>
      <c r="Y18" s="35"/>
      <c r="Z18" s="35"/>
      <c r="AA18" s="35"/>
      <c r="AB18" s="35"/>
      <c r="AC18" s="35"/>
    </row>
    <row r="19" spans="3:29" x14ac:dyDescent="0.3">
      <c r="C19" s="12">
        <f>'Original params'!C19</f>
        <v>20</v>
      </c>
      <c r="D19" s="12" t="str">
        <f>'Original params'!D19</f>
        <v>R11</v>
      </c>
      <c r="E19" s="105" t="s">
        <v>76</v>
      </c>
      <c r="F19" s="101">
        <f>'Original params'!F19+Corrections2!O15</f>
        <v>1.5056124779769924</v>
      </c>
      <c r="G19" s="101">
        <f>'Original params'!G19+Corrections2!P15</f>
        <v>1.2843875220230074</v>
      </c>
      <c r="H19" s="104">
        <f>'Original params'!H19*SQRT(Corrections2!Q15)</f>
        <v>1614494327360416.3</v>
      </c>
      <c r="I19" s="104">
        <f t="shared" si="1"/>
        <v>4.2586649826575687E-2</v>
      </c>
      <c r="J19" s="104">
        <f>'Original params'!J19/SQRT(Corrections2!Q15)</f>
        <v>3.7910808526500024E+16</v>
      </c>
      <c r="K19" s="102">
        <f t="shared" ref="K19:K25" si="8">H19*EXP(-F19/($H$4*$H$3))</f>
        <v>25531613.666475646</v>
      </c>
      <c r="L19" s="102">
        <f t="shared" ref="L19:L25" si="9">J19*EXP(-G19/($H$4*$H$3))</f>
        <v>8395124105.0720787</v>
      </c>
      <c r="M19" s="102">
        <f t="shared" si="3"/>
        <v>3.0412431486331716E-3</v>
      </c>
      <c r="N19" s="50">
        <f t="shared" si="4"/>
        <v>0.48578001301755308</v>
      </c>
      <c r="O19" s="50">
        <f>F19-G19</f>
        <v>0.22122495595398495</v>
      </c>
      <c r="P19" s="80">
        <f t="shared" si="6"/>
        <v>-2.6231225870691762E-2</v>
      </c>
      <c r="T19" s="2"/>
      <c r="U19" s="2"/>
      <c r="V19" s="27"/>
      <c r="W19" s="27"/>
      <c r="X19" s="27"/>
      <c r="Y19" s="35"/>
      <c r="Z19" s="35"/>
      <c r="AA19" s="35"/>
      <c r="AB19" s="35"/>
      <c r="AC19" s="35"/>
    </row>
    <row r="20" spans="3:29" s="8" customFormat="1" x14ac:dyDescent="0.3">
      <c r="C20" s="12">
        <f>'Original params'!C20</f>
        <v>22</v>
      </c>
      <c r="D20" s="12" t="str">
        <f>'Original params'!D20</f>
        <v>R12</v>
      </c>
      <c r="E20" s="105" t="s">
        <v>78</v>
      </c>
      <c r="F20" s="101">
        <f>'Original params'!F20+Corrections2!O16</f>
        <v>1.3598001999176152E-2</v>
      </c>
      <c r="G20" s="101">
        <f>'Original params'!G20+Corrections2!P16</f>
        <v>6.4020468442325621E-3</v>
      </c>
      <c r="H20" s="104">
        <f>'Original params'!H20*SQRT(Corrections2!Q16)</f>
        <v>142300598177.72849</v>
      </c>
      <c r="I20" s="104">
        <f t="shared" si="1"/>
        <v>0.2235652547802334</v>
      </c>
      <c r="J20" s="104">
        <f>'Original params'!J20/SQRT(Corrections2!Q16)</f>
        <v>636505875287.33484</v>
      </c>
      <c r="K20" s="102">
        <f t="shared" si="8"/>
        <v>120990715568.03923</v>
      </c>
      <c r="L20" s="102">
        <f t="shared" si="9"/>
        <v>589700907641.34814</v>
      </c>
      <c r="M20" s="102">
        <f t="shared" si="3"/>
        <v>0.20517301906821028</v>
      </c>
      <c r="N20" s="50">
        <f t="shared" si="4"/>
        <v>0.13276321985019018</v>
      </c>
      <c r="O20" s="50">
        <f t="shared" si="7"/>
        <v>7.1959551549435896E-3</v>
      </c>
      <c r="P20" s="80">
        <f t="shared" si="6"/>
        <v>-1.2450275261207773E-2</v>
      </c>
      <c r="T20" s="2"/>
      <c r="U20" s="2"/>
      <c r="V20" s="27"/>
      <c r="W20" s="27"/>
      <c r="X20" s="27"/>
      <c r="Y20" s="35"/>
      <c r="Z20" s="35"/>
      <c r="AA20" s="35"/>
      <c r="AB20" s="35"/>
      <c r="AC20" s="35"/>
    </row>
    <row r="21" spans="3:29" s="8" customFormat="1" x14ac:dyDescent="0.3">
      <c r="C21" s="12">
        <f>'Original params'!C21</f>
        <v>24</v>
      </c>
      <c r="D21" s="12" t="str">
        <f>'Original params'!D21</f>
        <v>R13</v>
      </c>
      <c r="E21" s="105" t="s">
        <v>80</v>
      </c>
      <c r="F21" s="101">
        <f>'Original params'!F21+Corrections2!O17</f>
        <v>1.8595246502228211</v>
      </c>
      <c r="G21" s="101">
        <f>'Original params'!G21+Corrections2!P17</f>
        <v>0.66047534977717903</v>
      </c>
      <c r="H21" s="104">
        <f>'Original params'!H21*SQRT(Corrections2!Q17)</f>
        <v>46506913793093.813</v>
      </c>
      <c r="I21" s="104">
        <f t="shared" si="1"/>
        <v>3.3545260400956511</v>
      </c>
      <c r="J21" s="104">
        <f>'Original params'!J21/SQRT(Corrections2!Q17)</f>
        <v>13863929877786.166</v>
      </c>
      <c r="K21" s="102">
        <f t="shared" si="8"/>
        <v>10785.76542955142</v>
      </c>
      <c r="L21" s="102">
        <f>J21*EXP(-G21/($H$4*$H$3))</f>
        <v>5245620458.6510735</v>
      </c>
      <c r="M21" s="102">
        <f>K21/L21</f>
        <v>2.0561467446169392E-6</v>
      </c>
      <c r="N21" s="50">
        <f t="shared" si="4"/>
        <v>1.0976006298688064</v>
      </c>
      <c r="O21" s="50">
        <f t="shared" si="7"/>
        <v>1.1990493004456422</v>
      </c>
      <c r="P21" s="80">
        <f t="shared" si="6"/>
        <v>1.0058862687107732E-2</v>
      </c>
      <c r="T21" s="2"/>
      <c r="U21" s="2"/>
      <c r="V21" s="27"/>
      <c r="W21" s="27"/>
      <c r="X21" s="27"/>
      <c r="Y21" s="35"/>
      <c r="Z21" s="35"/>
      <c r="AA21" s="35"/>
      <c r="AB21" s="35"/>
      <c r="AC21" s="35"/>
    </row>
    <row r="22" spans="3:29" s="8" customFormat="1" x14ac:dyDescent="0.3">
      <c r="C22" s="12">
        <f>'Original params'!C22</f>
        <v>26</v>
      </c>
      <c r="D22" s="12" t="str">
        <f>'Original params'!D22</f>
        <v>R14</v>
      </c>
      <c r="E22" s="96" t="s">
        <v>83</v>
      </c>
      <c r="F22" s="50">
        <f>'Original params'!F22+Corrections2!O18</f>
        <v>0.16354663177531351</v>
      </c>
      <c r="G22" s="50">
        <f>'Original params'!G22+Corrections2!P18</f>
        <v>0.53645336822468648</v>
      </c>
      <c r="H22" s="44">
        <f>'Original params'!H22*SQRT(Corrections2!Q18)</f>
        <v>240491345903.20108</v>
      </c>
      <c r="I22" s="44">
        <f t="shared" si="1"/>
        <v>1.3699851890633451E-2</v>
      </c>
      <c r="J22" s="44">
        <f>'Original params'!J22/SQRT(Corrections2!Q18)</f>
        <v>17554302617506.713</v>
      </c>
      <c r="K22" s="53">
        <f t="shared" si="8"/>
        <v>34176145118.031345</v>
      </c>
      <c r="L22" s="53">
        <f t="shared" si="9"/>
        <v>29166430471.933498</v>
      </c>
      <c r="M22" s="53">
        <f t="shared" si="3"/>
        <v>1.1717630359641931</v>
      </c>
      <c r="N22" s="50">
        <f t="shared" si="4"/>
        <v>-1.3286323174234182E-2</v>
      </c>
      <c r="O22" s="50">
        <f t="shared" si="7"/>
        <v>-0.372906736449373</v>
      </c>
      <c r="P22" s="80">
        <f t="shared" si="6"/>
        <v>-3.5657168655313307E-2</v>
      </c>
      <c r="T22" s="2"/>
      <c r="U22" s="2"/>
      <c r="V22" s="27"/>
      <c r="W22" s="27"/>
      <c r="X22" s="27"/>
      <c r="Y22" s="35"/>
      <c r="Z22" s="35"/>
      <c r="AA22" s="35"/>
      <c r="AB22" s="35"/>
      <c r="AC22" s="35"/>
    </row>
    <row r="23" spans="3:29" x14ac:dyDescent="0.3">
      <c r="C23" s="12">
        <f>'Original params'!C23</f>
        <v>28</v>
      </c>
      <c r="D23" s="12" t="str">
        <f>'Original params'!D23</f>
        <v>R15</v>
      </c>
      <c r="E23" s="96" t="s">
        <v>85</v>
      </c>
      <c r="F23" s="50">
        <f>'Original params'!F23+Corrections2!O19</f>
        <v>1.6504528966732301</v>
      </c>
      <c r="G23" s="50">
        <f>'Original params'!G23+Corrections2!P19</f>
        <v>0.86254710332676954</v>
      </c>
      <c r="H23" s="44">
        <f>'Original params'!H23*SQRT(Corrections2!Q19)</f>
        <v>917888025674.47729</v>
      </c>
      <c r="I23" s="44">
        <f t="shared" si="1"/>
        <v>2.0509946377461445</v>
      </c>
      <c r="J23" s="44">
        <f>'Original params'!J23/SQRT(Corrections2!Q19)</f>
        <v>447533118215.82935</v>
      </c>
      <c r="K23" s="53">
        <f t="shared" si="8"/>
        <v>2578.5566591304473</v>
      </c>
      <c r="L23" s="53">
        <f t="shared" si="9"/>
        <v>15196757.504951138</v>
      </c>
      <c r="M23" s="53">
        <f t="shared" si="3"/>
        <v>1.6967808154406277E-4</v>
      </c>
      <c r="N23" s="50">
        <f t="shared" si="4"/>
        <v>0.72769553893881467</v>
      </c>
      <c r="O23" s="50">
        <f t="shared" si="7"/>
        <v>0.7879057933464606</v>
      </c>
      <c r="P23" s="80">
        <f t="shared" si="6"/>
        <v>5.9699814497187033E-3</v>
      </c>
      <c r="T23" s="2"/>
      <c r="U23" s="2"/>
      <c r="V23" s="27"/>
      <c r="W23" s="27"/>
      <c r="X23" s="27"/>
      <c r="Y23" s="35"/>
      <c r="Z23" s="35"/>
      <c r="AA23" s="35"/>
      <c r="AB23" s="35"/>
      <c r="AC23" s="35"/>
    </row>
    <row r="24" spans="3:29" ht="19.5" customHeight="1" x14ac:dyDescent="0.3">
      <c r="C24" s="12">
        <f>'Original params'!C24</f>
        <v>30</v>
      </c>
      <c r="D24" s="12" t="str">
        <f>'Original params'!D24</f>
        <v>R16</v>
      </c>
      <c r="E24" s="96" t="s">
        <v>87</v>
      </c>
      <c r="F24" s="50">
        <f>'Original params'!F24+Corrections2!O20</f>
        <v>1.3695471033267697</v>
      </c>
      <c r="G24" s="50">
        <f>'Original params'!G24+Corrections2!P20</f>
        <v>2.3004528966732307</v>
      </c>
      <c r="H24" s="44">
        <f>'Original params'!H24*SQRT(Corrections2!Q20)</f>
        <v>462950958083966.81</v>
      </c>
      <c r="I24" s="44">
        <f t="shared" si="1"/>
        <v>343.37272679907767</v>
      </c>
      <c r="J24" s="44">
        <f>'Original params'!J24/SQRT(Corrections2!Q20)</f>
        <v>1348246153384.3938</v>
      </c>
      <c r="K24" s="53">
        <f t="shared" si="8"/>
        <v>37116394.021051392</v>
      </c>
      <c r="L24" s="53">
        <f t="shared" si="9"/>
        <v>1.6238357809882653</v>
      </c>
      <c r="M24" s="53">
        <f t="shared" si="3"/>
        <v>22857233.752086915</v>
      </c>
      <c r="N24" s="50">
        <f t="shared" si="4"/>
        <v>-1.4203175423673329</v>
      </c>
      <c r="O24" s="50">
        <f t="shared" si="7"/>
        <v>-0.93090579334646106</v>
      </c>
      <c r="P24" s="80">
        <f t="shared" si="6"/>
        <v>4.8526270012869466E-2</v>
      </c>
      <c r="T24" s="2"/>
      <c r="U24" s="2"/>
      <c r="V24" s="27"/>
      <c r="W24" s="27"/>
      <c r="X24" s="27"/>
      <c r="Y24" s="35"/>
      <c r="Z24" s="35"/>
      <c r="AA24" s="35"/>
      <c r="AB24" s="35"/>
      <c r="AC24" s="35"/>
    </row>
    <row r="25" spans="3:29" s="8" customFormat="1" x14ac:dyDescent="0.3">
      <c r="C25" s="12">
        <f>'Original params'!C25</f>
        <v>32</v>
      </c>
      <c r="D25" s="12" t="str">
        <f>'Original params'!D25</f>
        <v>R17</v>
      </c>
      <c r="E25" s="96" t="s">
        <v>89</v>
      </c>
      <c r="F25" s="50">
        <f>'Original params'!F25+Corrections2!O21</f>
        <v>2.3953302733267328</v>
      </c>
      <c r="G25" s="50">
        <f>'Original params'!G25+Corrections2!P21</f>
        <v>1.8897873166732373</v>
      </c>
      <c r="H25" s="44">
        <f>'Original params'!H25*SQRT(Corrections2!Q21)</f>
        <v>4114259527255590</v>
      </c>
      <c r="I25" s="44">
        <f t="shared" si="1"/>
        <v>5913.9137776286652</v>
      </c>
      <c r="J25" s="44">
        <f>'Original params'!J25/SQRT(Corrections2!Q21)</f>
        <v>695691496690.25232</v>
      </c>
      <c r="K25" s="53">
        <f t="shared" si="8"/>
        <v>1597.6475040650948</v>
      </c>
      <c r="L25" s="53">
        <f t="shared" si="9"/>
        <v>112.44797330316779</v>
      </c>
      <c r="M25" s="53">
        <f t="shared" si="3"/>
        <v>14.207881717509686</v>
      </c>
      <c r="N25" s="50">
        <f t="shared" si="4"/>
        <v>-0.22244222916997647</v>
      </c>
      <c r="O25" s="50">
        <f t="shared" si="7"/>
        <v>0.50554295665349547</v>
      </c>
      <c r="P25" s="80">
        <f t="shared" si="6"/>
        <v>7.2181360098758474E-2</v>
      </c>
      <c r="T25" s="2"/>
      <c r="U25" s="2"/>
      <c r="V25" s="27"/>
      <c r="W25" s="27"/>
      <c r="X25" s="27"/>
      <c r="Y25" s="35"/>
      <c r="Z25" s="35"/>
      <c r="AA25" s="35"/>
      <c r="AB25" s="35"/>
      <c r="AC25" s="35"/>
    </row>
    <row r="27" spans="3:29" x14ac:dyDescent="0.3">
      <c r="L27" s="2"/>
      <c r="M27" s="2"/>
      <c r="N27" s="1"/>
      <c r="O27"/>
      <c r="P27"/>
    </row>
    <row r="28" spans="3:29" x14ac:dyDescent="0.3">
      <c r="I28" s="28"/>
      <c r="J28" s="3"/>
      <c r="N28" s="1"/>
      <c r="O28"/>
      <c r="P28"/>
    </row>
    <row r="29" spans="3:29" x14ac:dyDescent="0.3">
      <c r="I29" s="28"/>
      <c r="J29" s="2"/>
      <c r="K29" s="2"/>
      <c r="L29" s="2"/>
      <c r="M29" s="2"/>
      <c r="N29" s="1"/>
      <c r="O29"/>
      <c r="P29"/>
    </row>
    <row r="30" spans="3:29" ht="18.75" customHeight="1" x14ac:dyDescent="0.3">
      <c r="I30" s="28"/>
      <c r="J30" s="2"/>
      <c r="K30" s="2"/>
      <c r="L30" s="2"/>
      <c r="M30" s="2"/>
      <c r="N30" s="1"/>
      <c r="O30"/>
      <c r="P30"/>
    </row>
    <row r="31" spans="3:29" x14ac:dyDescent="0.3">
      <c r="I31" s="28"/>
      <c r="J31" s="2"/>
      <c r="K31" s="2"/>
      <c r="L31" s="2"/>
      <c r="M31" s="2"/>
      <c r="N31" s="1"/>
      <c r="O31"/>
      <c r="P31"/>
    </row>
    <row r="32" spans="3:29" x14ac:dyDescent="0.3">
      <c r="E32" s="107"/>
      <c r="H32" s="2"/>
      <c r="I32" s="28"/>
      <c r="J32" s="2"/>
      <c r="K32" s="2"/>
      <c r="L32" s="2"/>
      <c r="M32" s="2"/>
      <c r="N32" s="1"/>
      <c r="O32"/>
      <c r="P32"/>
    </row>
    <row r="33" spans="6:16" x14ac:dyDescent="0.3">
      <c r="H33" s="2"/>
      <c r="I33" s="28"/>
      <c r="J33" s="2"/>
      <c r="K33" s="2"/>
      <c r="L33" s="2"/>
      <c r="M33" s="2"/>
      <c r="N33" s="1"/>
      <c r="O33"/>
      <c r="P33"/>
    </row>
    <row r="34" spans="6:16" x14ac:dyDescent="0.3">
      <c r="I34" s="28"/>
      <c r="J34" s="2"/>
      <c r="K34" s="2"/>
      <c r="L34" s="2"/>
      <c r="M34" s="2"/>
      <c r="N34" s="1"/>
      <c r="O34"/>
      <c r="P34"/>
    </row>
    <row r="35" spans="6:16" x14ac:dyDescent="0.3">
      <c r="J35" s="3"/>
      <c r="N35" s="3"/>
      <c r="O35" s="3"/>
    </row>
    <row r="36" spans="6:16" x14ac:dyDescent="0.3">
      <c r="J36" s="3"/>
    </row>
    <row r="37" spans="6:16" x14ac:dyDescent="0.3">
      <c r="F37" s="2"/>
      <c r="G37" s="2"/>
      <c r="J37" s="3"/>
    </row>
    <row r="38" spans="6:16" x14ac:dyDescent="0.3">
      <c r="F38" s="2"/>
      <c r="G38" s="2"/>
      <c r="J38" s="3"/>
    </row>
    <row r="39" spans="6:16" x14ac:dyDescent="0.3">
      <c r="J39" s="3"/>
    </row>
  </sheetData>
  <mergeCells count="1">
    <mergeCell ref="G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5643-155F-4500-B396-4F210F330A60}">
  <dimension ref="C1:S44"/>
  <sheetViews>
    <sheetView topLeftCell="B4" zoomScale="96" zoomScaleNormal="100" workbookViewId="0">
      <selection activeCell="N14" sqref="N14"/>
    </sheetView>
  </sheetViews>
  <sheetFormatPr defaultRowHeight="14.4" x14ac:dyDescent="0.3"/>
  <cols>
    <col min="3" max="4" width="11.44140625" customWidth="1"/>
    <col min="5" max="5" width="35.109375" style="4" customWidth="1"/>
    <col min="6" max="8" width="10.44140625" customWidth="1"/>
    <col min="9" max="10" width="10.44140625" style="3" customWidth="1"/>
    <col min="11" max="11" width="12" style="2" customWidth="1"/>
    <col min="12" max="12" width="13" style="1" customWidth="1"/>
    <col min="13" max="14" width="14.6640625" customWidth="1"/>
    <col min="15" max="15" width="13" customWidth="1"/>
    <col min="17" max="17" width="13.6640625" customWidth="1"/>
    <col min="18" max="18" width="15" customWidth="1"/>
    <col min="19" max="19" width="14.6640625" customWidth="1"/>
  </cols>
  <sheetData>
    <row r="1" spans="3:19" x14ac:dyDescent="0.3">
      <c r="J1" s="133" t="s">
        <v>25</v>
      </c>
      <c r="K1" s="133"/>
      <c r="L1" s="133"/>
      <c r="M1" s="133"/>
      <c r="N1" s="133"/>
    </row>
    <row r="2" spans="3:19" x14ac:dyDescent="0.3">
      <c r="F2" s="132" t="s">
        <v>26</v>
      </c>
      <c r="G2" s="132"/>
      <c r="H2" s="132"/>
      <c r="J2" s="75"/>
      <c r="K2" s="75" t="s">
        <v>27</v>
      </c>
      <c r="L2" s="76" t="s">
        <v>9</v>
      </c>
      <c r="M2" s="76" t="s">
        <v>6</v>
      </c>
      <c r="N2" s="76" t="s">
        <v>28</v>
      </c>
    </row>
    <row r="3" spans="3:19" x14ac:dyDescent="0.3">
      <c r="F3" s="42" t="s">
        <v>29</v>
      </c>
      <c r="G3" s="44">
        <f>'Initial Krxn_calc'!G3</f>
        <v>8.613304E-5</v>
      </c>
      <c r="H3" s="12" t="s">
        <v>30</v>
      </c>
      <c r="J3" s="5" t="s">
        <v>1</v>
      </c>
      <c r="K3" s="17">
        <f>'Initial Krxn_calc'!K3</f>
        <v>7.7103991021275107</v>
      </c>
      <c r="L3" s="17">
        <f>'Initial Krxn_calc'!L3</f>
        <v>-16.519952999999987</v>
      </c>
      <c r="M3" s="17">
        <f>'Initial Krxn_calc'!M3</f>
        <v>260.44241199999999</v>
      </c>
      <c r="N3" s="17">
        <f>'Initial Krxn_calc'!N3</f>
        <v>284.60398191440169</v>
      </c>
    </row>
    <row r="4" spans="3:19" x14ac:dyDescent="0.3">
      <c r="F4" s="42" t="s">
        <v>15</v>
      </c>
      <c r="G4" s="44">
        <f>'Initial Krxn_calc'!G4</f>
        <v>973.15</v>
      </c>
      <c r="H4" s="12" t="s">
        <v>31</v>
      </c>
      <c r="J4" s="5" t="s">
        <v>2</v>
      </c>
      <c r="K4" s="17">
        <f>'Initial Krxn_calc'!K4</f>
        <v>0.61841401459433554</v>
      </c>
      <c r="L4" s="17">
        <f>'Initial Krxn_calc'!L4</f>
        <v>3.8869864999999777</v>
      </c>
      <c r="M4" s="17">
        <f>'Initial Krxn_calc'!M4</f>
        <v>35.054407000000026</v>
      </c>
      <c r="N4" s="17">
        <f>'Initial Krxn_calc'!N4</f>
        <v>32.027354981246518</v>
      </c>
    </row>
    <row r="5" spans="3:19" x14ac:dyDescent="0.3">
      <c r="F5" s="42" t="s">
        <v>32</v>
      </c>
      <c r="G5" s="44">
        <f>'Initial Krxn_calc'!G5</f>
        <v>1.3800000000000001E-23</v>
      </c>
      <c r="H5" s="12" t="s">
        <v>33</v>
      </c>
      <c r="M5" s="3"/>
      <c r="N5" s="15"/>
    </row>
    <row r="6" spans="3:19" x14ac:dyDescent="0.3">
      <c r="F6" s="42" t="s">
        <v>34</v>
      </c>
      <c r="G6" s="44">
        <f>'Initial Krxn_calc'!G6</f>
        <v>6.6260000000000015E-34</v>
      </c>
      <c r="H6" s="12" t="s">
        <v>35</v>
      </c>
    </row>
    <row r="7" spans="3:19" x14ac:dyDescent="0.3">
      <c r="F7" s="42" t="s">
        <v>36</v>
      </c>
      <c r="G7" s="44">
        <f>'Initial Krxn_calc'!G7</f>
        <v>96.49</v>
      </c>
      <c r="H7" s="12" t="s">
        <v>37</v>
      </c>
    </row>
    <row r="9" spans="3:19" ht="33" customHeight="1" x14ac:dyDescent="0.3">
      <c r="C9" s="65" t="s">
        <v>145</v>
      </c>
      <c r="D9" s="65" t="s">
        <v>39</v>
      </c>
      <c r="E9" s="66" t="s">
        <v>40</v>
      </c>
      <c r="F9" s="65" t="s">
        <v>41</v>
      </c>
      <c r="G9" s="65" t="s">
        <v>42</v>
      </c>
      <c r="H9" s="67" t="s">
        <v>43</v>
      </c>
      <c r="I9" s="68" t="s">
        <v>44</v>
      </c>
      <c r="J9" s="68" t="s">
        <v>45</v>
      </c>
      <c r="K9" s="69" t="s">
        <v>46</v>
      </c>
      <c r="L9" s="70" t="s">
        <v>47</v>
      </c>
      <c r="M9" s="71" t="s">
        <v>48</v>
      </c>
    </row>
    <row r="10" spans="3:19" s="8" customFormat="1" x14ac:dyDescent="0.3">
      <c r="C10" s="12">
        <f>'Original params'!C9</f>
        <v>0</v>
      </c>
      <c r="D10" s="12" t="str">
        <f>'Original params'!D9</f>
        <v>R1</v>
      </c>
      <c r="E10" s="105" t="s">
        <v>50</v>
      </c>
      <c r="F10" s="18">
        <v>1</v>
      </c>
      <c r="G10" s="18">
        <v>1</v>
      </c>
      <c r="H10" s="19"/>
      <c r="I10" s="19"/>
      <c r="J10" s="33">
        <f>'Refined params'!M9</f>
        <v>2.9089830637418967E-5</v>
      </c>
      <c r="K10" s="11">
        <f>'Refined params'!O9*$G$7</f>
        <v>-2.0098000000000003</v>
      </c>
      <c r="L10" s="11">
        <f>'Refined params'!P9*1000</f>
        <v>-88.874420261207774</v>
      </c>
      <c r="M10" s="11">
        <f>'Refined params'!N9*$G$7</f>
        <v>84.478342077194341</v>
      </c>
      <c r="N10" s="13"/>
      <c r="O10" s="13"/>
      <c r="P10" s="13"/>
      <c r="Q10" s="13"/>
      <c r="R10" s="13"/>
      <c r="S10" s="13"/>
    </row>
    <row r="11" spans="3:19" x14ac:dyDescent="0.3">
      <c r="C11" s="12">
        <f>'Original params'!C10</f>
        <v>2</v>
      </c>
      <c r="D11" s="12" t="str">
        <f>'Original params'!D10</f>
        <v>R2</v>
      </c>
      <c r="E11" s="108" t="s">
        <v>52</v>
      </c>
      <c r="F11" s="18">
        <v>1</v>
      </c>
      <c r="G11" s="18">
        <v>1</v>
      </c>
      <c r="H11" s="19"/>
      <c r="I11" s="19"/>
      <c r="J11" s="33">
        <f>'Refined params'!M10</f>
        <v>7.9064526021459039E-3</v>
      </c>
      <c r="K11" s="11">
        <f>'Refined params'!O10*$G$7</f>
        <v>5.0384190000000144</v>
      </c>
      <c r="L11" s="11">
        <f>'Refined params'!P10*1000</f>
        <v>-35.048327942977295</v>
      </c>
      <c r="M11" s="11">
        <f>'Refined params'!N10*$G$7</f>
        <v>39.145699337708365</v>
      </c>
      <c r="N11" s="13"/>
      <c r="O11" s="3"/>
      <c r="P11" s="3"/>
      <c r="Q11" s="3"/>
      <c r="R11" s="13"/>
      <c r="S11" s="13"/>
    </row>
    <row r="12" spans="3:19" x14ac:dyDescent="0.3">
      <c r="C12" s="12">
        <f>'Original params'!C11</f>
        <v>4</v>
      </c>
      <c r="D12" s="12" t="str">
        <f>'Original params'!D11</f>
        <v>R3</v>
      </c>
      <c r="E12" s="108" t="s">
        <v>54</v>
      </c>
      <c r="F12" s="18">
        <v>1</v>
      </c>
      <c r="G12" s="18">
        <v>1</v>
      </c>
      <c r="H12" s="19"/>
      <c r="I12" s="19"/>
      <c r="J12" s="33">
        <f>'Refined params'!M11</f>
        <v>0.16258100271231468</v>
      </c>
      <c r="K12" s="11">
        <f>'Refined params'!O11*$G$7</f>
        <v>35.910747999999998</v>
      </c>
      <c r="L12" s="11">
        <f>'Refined params'!P11*1000</f>
        <v>21.804009041881827</v>
      </c>
      <c r="M12" s="11">
        <f>'Refined params'!N11*$G$7</f>
        <v>14.692176600892697</v>
      </c>
      <c r="N12" s="13"/>
      <c r="O12" s="65"/>
      <c r="P12" s="65" t="s">
        <v>45</v>
      </c>
      <c r="Q12" s="65" t="s">
        <v>6</v>
      </c>
      <c r="R12" s="65" t="s">
        <v>28</v>
      </c>
      <c r="S12" s="65" t="s">
        <v>55</v>
      </c>
    </row>
    <row r="13" spans="3:19" x14ac:dyDescent="0.3">
      <c r="C13" s="12">
        <f>'Original params'!C12</f>
        <v>6</v>
      </c>
      <c r="D13" s="12" t="str">
        <f>'Original params'!D12</f>
        <v>R4</v>
      </c>
      <c r="E13" s="108" t="s">
        <v>57</v>
      </c>
      <c r="F13" s="18">
        <v>1</v>
      </c>
      <c r="G13" s="18">
        <v>1</v>
      </c>
      <c r="H13" s="19"/>
      <c r="I13" s="19"/>
      <c r="J13" s="33">
        <f>'Refined params'!M12</f>
        <v>66.297201015973911</v>
      </c>
      <c r="K13" s="11">
        <f>'Refined params'!O12*$G$7</f>
        <v>-21.018352</v>
      </c>
      <c r="L13" s="11">
        <f>'Refined params'!P12*1000</f>
        <v>13.259199595096138</v>
      </c>
      <c r="M13" s="11">
        <f>'Refined params'!N12*$G$7</f>
        <v>-33.921542085967808</v>
      </c>
      <c r="N13" s="13"/>
      <c r="O13" s="110" t="s">
        <v>58</v>
      </c>
      <c r="P13" s="111">
        <f>J20*J21</f>
        <v>6.239810385255776E-4</v>
      </c>
      <c r="Q13" s="112">
        <f>SUM(K20:K21)</f>
        <v>22.040333712900512</v>
      </c>
      <c r="R13" s="112">
        <f>SUM(L20:L21)</f>
        <v>-38.681501131899537</v>
      </c>
      <c r="S13" s="112">
        <f>R13*$G$4/1000</f>
        <v>-37.642902826508035</v>
      </c>
    </row>
    <row r="14" spans="3:19" x14ac:dyDescent="0.3">
      <c r="C14" s="12">
        <f>'Original params'!C13</f>
        <v>8</v>
      </c>
      <c r="D14" s="12" t="str">
        <f>'Original params'!D13</f>
        <v>R5</v>
      </c>
      <c r="E14" s="105" t="s">
        <v>60</v>
      </c>
      <c r="F14" s="18">
        <v>1</v>
      </c>
      <c r="G14" s="19"/>
      <c r="H14" s="19"/>
      <c r="I14" s="19"/>
      <c r="J14" s="33">
        <f>'Refined params'!M13</f>
        <v>229.23762223798875</v>
      </c>
      <c r="K14" s="11">
        <f>'Refined params'!O13*$G$7</f>
        <v>-21.831704000000002</v>
      </c>
      <c r="L14" s="11">
        <f>'Refined params'!P13*1000</f>
        <v>22.734099715040792</v>
      </c>
      <c r="M14" s="11">
        <f>'Refined params'!N13*$G$7</f>
        <v>-43.955393137691942</v>
      </c>
      <c r="N14" s="13"/>
      <c r="O14" s="113" t="s">
        <v>61</v>
      </c>
      <c r="P14" s="111">
        <f>J23*J24</f>
        <v>1.9882250396665091E-4</v>
      </c>
      <c r="Q14" s="112">
        <f>SUM(K23:K24)</f>
        <v>40.043258999999971</v>
      </c>
      <c r="R14" s="112">
        <f>SUM(L23:L24)</f>
        <v>-29.687187205594604</v>
      </c>
      <c r="S14" s="112">
        <f>R14*$G$4/1000</f>
        <v>-28.890086229124389</v>
      </c>
    </row>
    <row r="15" spans="3:19" s="8" customFormat="1" x14ac:dyDescent="0.3">
      <c r="C15" s="12">
        <f>'Original params'!C14</f>
        <v>10</v>
      </c>
      <c r="D15" s="12" t="str">
        <f>'Original params'!D14</f>
        <v>R6</v>
      </c>
      <c r="E15" s="105" t="s">
        <v>63</v>
      </c>
      <c r="F15" s="18" t="s">
        <v>64</v>
      </c>
      <c r="G15" s="18" t="s">
        <v>64</v>
      </c>
      <c r="H15" s="18">
        <v>-1</v>
      </c>
      <c r="I15" s="18">
        <v>-1</v>
      </c>
      <c r="J15" s="33">
        <f>'Refined params'!M14</f>
        <v>214.82509343910633</v>
      </c>
      <c r="K15" s="11">
        <f>'Refined params'!O14*$G$7</f>
        <v>49.2973</v>
      </c>
      <c r="L15" s="11">
        <f>'Refined params'!P14*1000</f>
        <v>95.285938000000002</v>
      </c>
      <c r="M15" s="11">
        <f>'Refined params'!N14*$G$7</f>
        <v>-43.430210564699998</v>
      </c>
      <c r="N15" s="13"/>
      <c r="O15" s="114" t="s">
        <v>65</v>
      </c>
      <c r="P15" s="115">
        <f>J14*J18</f>
        <v>52165.504196429632</v>
      </c>
      <c r="Q15" s="116">
        <f>SUM(K14,K18)</f>
        <v>-45.821537000000021</v>
      </c>
      <c r="R15" s="116">
        <f>SUM(L14,L18)</f>
        <v>43.189510706154678</v>
      </c>
      <c r="S15" s="116">
        <f>R15*$G$4/1000</f>
        <v>42.029872343694429</v>
      </c>
    </row>
    <row r="16" spans="3:19" x14ac:dyDescent="0.3">
      <c r="C16" s="12">
        <f>'Original params'!C15</f>
        <v>12</v>
      </c>
      <c r="D16" s="12" t="str">
        <f>'Original params'!D15</f>
        <v>R7</v>
      </c>
      <c r="E16" s="105" t="s">
        <v>67</v>
      </c>
      <c r="F16" s="19"/>
      <c r="G16" s="18">
        <v>1</v>
      </c>
      <c r="H16" s="19"/>
      <c r="I16" s="19"/>
      <c r="J16" s="33">
        <f>'Refined params'!M15</f>
        <v>2.7485068983096838E-2</v>
      </c>
      <c r="K16" s="11">
        <f>'Refined params'!O15*$G$7</f>
        <v>51.552831999999981</v>
      </c>
      <c r="L16" s="11">
        <f>'Refined params'!P15*1000</f>
        <v>23.104631233949039</v>
      </c>
      <c r="M16" s="11">
        <f>'Refined params'!N15*$G$7</f>
        <v>29.068560114682477</v>
      </c>
      <c r="N16" s="13"/>
      <c r="O16" s="117" t="s">
        <v>68</v>
      </c>
      <c r="P16" s="118">
        <f>J16*J17</f>
        <v>482560.22374171414</v>
      </c>
      <c r="Q16" s="119">
        <f>SUM(K16:K17)</f>
        <v>-63.822036000000011</v>
      </c>
      <c r="R16" s="119">
        <f>SUM(L16:L17)</f>
        <v>43.181663345064408</v>
      </c>
      <c r="S16" s="116">
        <f>R16*$G$4/1000</f>
        <v>42.022235684249424</v>
      </c>
    </row>
    <row r="17" spans="3:15" x14ac:dyDescent="0.3">
      <c r="C17" s="12">
        <f>'Original params'!C16</f>
        <v>14</v>
      </c>
      <c r="D17" s="12" t="str">
        <f>'Original params'!D16</f>
        <v>R8</v>
      </c>
      <c r="E17" s="105" t="s">
        <v>70</v>
      </c>
      <c r="F17" s="19"/>
      <c r="G17" s="18">
        <v>1</v>
      </c>
      <c r="H17" s="19"/>
      <c r="I17" s="19"/>
      <c r="J17" s="33">
        <f>'Refined params'!M16</f>
        <v>17557177.099991489</v>
      </c>
      <c r="K17" s="11">
        <f>'Refined params'!O16*$G$7</f>
        <v>-115.37486799999999</v>
      </c>
      <c r="L17" s="11">
        <f>'Refined params'!P16*1000</f>
        <v>20.077032111115365</v>
      </c>
      <c r="M17" s="11">
        <f>'Refined params'!N16*$G$7</f>
        <v>-134.9128317989319</v>
      </c>
      <c r="N17" s="13"/>
    </row>
    <row r="18" spans="3:15" x14ac:dyDescent="0.3">
      <c r="C18" s="12">
        <f>'Original params'!C17</f>
        <v>16</v>
      </c>
      <c r="D18" s="12" t="str">
        <f>'Original params'!D17</f>
        <v>R9</v>
      </c>
      <c r="E18" s="105" t="s">
        <v>72</v>
      </c>
      <c r="F18" s="18">
        <v>1</v>
      </c>
      <c r="G18" s="19"/>
      <c r="H18" s="19"/>
      <c r="I18" s="19"/>
      <c r="J18" s="33">
        <f>'Refined params'!M17</f>
        <v>227.56083267288784</v>
      </c>
      <c r="K18" s="11">
        <f>'Refined params'!O17*$G$7</f>
        <v>-23.989833000000019</v>
      </c>
      <c r="L18" s="11">
        <f>'Refined params'!P17*1000</f>
        <v>20.45541099111389</v>
      </c>
      <c r="M18" s="11">
        <f>'Refined params'!N17*$G$7</f>
        <v>-43.8960162060025</v>
      </c>
      <c r="N18" s="13"/>
    </row>
    <row r="19" spans="3:15" s="8" customFormat="1" x14ac:dyDescent="0.3">
      <c r="C19" s="12">
        <f>'Original params'!C18</f>
        <v>18</v>
      </c>
      <c r="D19" s="12" t="str">
        <f>'Original params'!D18</f>
        <v>R10</v>
      </c>
      <c r="E19" s="105" t="s">
        <v>74</v>
      </c>
      <c r="F19" s="18">
        <v>1</v>
      </c>
      <c r="G19" s="18">
        <v>1</v>
      </c>
      <c r="H19" s="19"/>
      <c r="I19" s="19"/>
      <c r="J19" s="33">
        <f>'Refined params'!M18</f>
        <v>112392.6186080703</v>
      </c>
      <c r="K19" s="11">
        <f>'Refined params'!O18*$G$7</f>
        <v>60.998133999999993</v>
      </c>
      <c r="L19" s="11">
        <f>'Refined params'!P18*1000</f>
        <v>159.33573668942668</v>
      </c>
      <c r="M19" s="11">
        <f>'Refined params'!N18*$G$7</f>
        <v>-94.059438159315604</v>
      </c>
      <c r="N19" s="13"/>
    </row>
    <row r="20" spans="3:15" x14ac:dyDescent="0.3">
      <c r="C20" s="12">
        <f>'Original params'!C19</f>
        <v>20</v>
      </c>
      <c r="D20" s="12" t="str">
        <f>'Original params'!D19</f>
        <v>R11</v>
      </c>
      <c r="E20" s="105" t="s">
        <v>76</v>
      </c>
      <c r="F20" s="18">
        <v>1</v>
      </c>
      <c r="G20" s="18">
        <v>1</v>
      </c>
      <c r="H20" s="19"/>
      <c r="I20" s="18">
        <v>-1</v>
      </c>
      <c r="J20" s="33">
        <f>'Refined params'!M19</f>
        <v>3.0412431486331716E-3</v>
      </c>
      <c r="K20" s="11">
        <f>'Refined params'!O19*$G$7</f>
        <v>21.345996000000007</v>
      </c>
      <c r="L20" s="11">
        <f>'Refined params'!P19*1000</f>
        <v>-26.231225870691762</v>
      </c>
      <c r="M20" s="11">
        <f>'Refined params'!N19*$G$7</f>
        <v>46.872913456063692</v>
      </c>
      <c r="N20" s="13"/>
    </row>
    <row r="21" spans="3:15" s="8" customFormat="1" x14ac:dyDescent="0.3">
      <c r="C21" s="12">
        <f>'Original params'!C20</f>
        <v>22</v>
      </c>
      <c r="D21" s="12" t="str">
        <f>'Original params'!D20</f>
        <v>R12</v>
      </c>
      <c r="E21" s="105" t="s">
        <v>78</v>
      </c>
      <c r="F21" s="18">
        <v>1</v>
      </c>
      <c r="G21" s="18">
        <v>1</v>
      </c>
      <c r="H21" s="18">
        <v>1</v>
      </c>
      <c r="I21" s="19"/>
      <c r="J21" s="33">
        <f>'Refined params'!M20</f>
        <v>0.20517301906821028</v>
      </c>
      <c r="K21" s="11">
        <f>'Refined params'!O20*$G$7</f>
        <v>0.69433771290050694</v>
      </c>
      <c r="L21" s="11">
        <f>'Refined params'!P20*1000</f>
        <v>-12.450275261207773</v>
      </c>
      <c r="M21" s="11">
        <f>'Refined params'!N20*$G$7</f>
        <v>12.81032308334485</v>
      </c>
      <c r="N21" s="13"/>
    </row>
    <row r="22" spans="3:15" s="8" customFormat="1" x14ac:dyDescent="0.3">
      <c r="C22" s="12">
        <f>'Original params'!C21</f>
        <v>24</v>
      </c>
      <c r="D22" s="12" t="str">
        <f>'Original params'!D21</f>
        <v>R13</v>
      </c>
      <c r="E22" s="105" t="s">
        <v>80</v>
      </c>
      <c r="F22" s="18">
        <v>1</v>
      </c>
      <c r="G22" s="18">
        <v>1</v>
      </c>
      <c r="H22" s="18">
        <v>1</v>
      </c>
      <c r="I22" s="18">
        <v>1</v>
      </c>
      <c r="J22" s="33">
        <f>'Refined params'!M21</f>
        <v>2.0561467446169392E-6</v>
      </c>
      <c r="K22" s="11">
        <f>'Refined params'!O21*$G$7</f>
        <v>115.69626700000001</v>
      </c>
      <c r="L22" s="11">
        <f>'Refined params'!P21*1000</f>
        <v>10.058862687107732</v>
      </c>
      <c r="M22" s="11">
        <f>'Refined params'!N21*$G$7</f>
        <v>105.90748477604112</v>
      </c>
      <c r="N22" s="13"/>
    </row>
    <row r="23" spans="3:15" x14ac:dyDescent="0.3">
      <c r="C23" s="12">
        <f>'Original params'!C22</f>
        <v>26</v>
      </c>
      <c r="D23" s="12" t="str">
        <f>'Original params'!D22</f>
        <v>R14</v>
      </c>
      <c r="E23" s="105" t="s">
        <v>83</v>
      </c>
      <c r="F23" s="19"/>
      <c r="G23" s="19"/>
      <c r="H23" s="19"/>
      <c r="I23" s="18">
        <v>1</v>
      </c>
      <c r="J23" s="33">
        <f>'Refined params'!M22</f>
        <v>1.1717630359641931</v>
      </c>
      <c r="K23" s="11">
        <f>'Refined params'!O22*$G$7</f>
        <v>-35.981771000000002</v>
      </c>
      <c r="L23" s="11">
        <f>'Refined params'!P22*1000</f>
        <v>-35.657168655313306</v>
      </c>
      <c r="M23" s="11">
        <f>'Refined params'!N22*$G$7</f>
        <v>-1.2819973230818562</v>
      </c>
      <c r="N23" s="13"/>
    </row>
    <row r="24" spans="3:15" x14ac:dyDescent="0.3">
      <c r="C24" s="12">
        <f>'Original params'!C23</f>
        <v>28</v>
      </c>
      <c r="D24" s="12" t="str">
        <f>'Original params'!D23</f>
        <v>R15</v>
      </c>
      <c r="E24" s="105" t="s">
        <v>85</v>
      </c>
      <c r="F24" s="19"/>
      <c r="G24" s="19"/>
      <c r="H24" s="19"/>
      <c r="I24" s="18">
        <v>1</v>
      </c>
      <c r="J24" s="33">
        <f>'Refined params'!M23</f>
        <v>1.6967808154406277E-4</v>
      </c>
      <c r="K24" s="11">
        <f>'Refined params'!O23*$G$7</f>
        <v>76.025029999999973</v>
      </c>
      <c r="L24" s="11">
        <f>'Refined params'!P23*1000</f>
        <v>5.9699814497187029</v>
      </c>
      <c r="M24" s="11">
        <f>'Refined params'!N23*$G$7</f>
        <v>70.215342552206224</v>
      </c>
      <c r="N24" s="13"/>
    </row>
    <row r="25" spans="3:15" x14ac:dyDescent="0.3">
      <c r="C25" s="12">
        <f>'Original params'!C24</f>
        <v>30</v>
      </c>
      <c r="D25" s="12" t="str">
        <f>'Original params'!D24</f>
        <v>R16</v>
      </c>
      <c r="E25" s="105" t="s">
        <v>87</v>
      </c>
      <c r="F25" s="19"/>
      <c r="G25" s="19"/>
      <c r="H25" s="18">
        <v>1</v>
      </c>
      <c r="I25" s="18">
        <v>1</v>
      </c>
      <c r="J25" s="33">
        <f>'Refined params'!M24</f>
        <v>22857233.752086915</v>
      </c>
      <c r="K25" s="11">
        <f>'Refined params'!O24*$G$7</f>
        <v>-89.823100000000025</v>
      </c>
      <c r="L25" s="11">
        <f>'Refined params'!P24*1000</f>
        <v>48.526270012869468</v>
      </c>
      <c r="M25" s="11">
        <f>'Refined params'!N24*$G$7</f>
        <v>-137.04643966302393</v>
      </c>
      <c r="N25" s="13"/>
    </row>
    <row r="26" spans="3:15" s="8" customFormat="1" x14ac:dyDescent="0.3">
      <c r="C26" s="12">
        <f>'Original params'!C25</f>
        <v>32</v>
      </c>
      <c r="D26" s="12" t="str">
        <f>'Original params'!D25</f>
        <v>R17</v>
      </c>
      <c r="E26" s="105" t="s">
        <v>89</v>
      </c>
      <c r="F26" s="19"/>
      <c r="G26" s="19"/>
      <c r="H26" s="18">
        <v>1</v>
      </c>
      <c r="I26" s="18">
        <v>1</v>
      </c>
      <c r="J26" s="33">
        <f>'Refined params'!M25</f>
        <v>14.207881717509686</v>
      </c>
      <c r="K26" s="11">
        <f>'Refined params'!O25*$G$7</f>
        <v>48.779839887495775</v>
      </c>
      <c r="L26" s="11">
        <f>'Refined params'!P25*1000</f>
        <v>72.181360098758475</v>
      </c>
      <c r="M26" s="11">
        <f>'Refined params'!N25*$G$7</f>
        <v>-21.46345069261103</v>
      </c>
      <c r="N26" s="13"/>
    </row>
    <row r="27" spans="3:15" x14ac:dyDescent="0.3">
      <c r="E27" s="54" t="s">
        <v>90</v>
      </c>
      <c r="F27" s="109">
        <f>PRODUCT(J10:J15,J15,J18:J22)</f>
        <v>0.86060640240470199</v>
      </c>
      <c r="G27" s="109" cm="1">
        <f t="array" ref="G27">PRODUCT((J10:J26)^(G10:G26))</f>
        <v>7.9610927660963497</v>
      </c>
      <c r="H27" s="109" cm="1">
        <f t="array" ref="H27">PRODUCT((J10:J26)^(H10:H26))</f>
        <v>0.6377380782153026</v>
      </c>
      <c r="I27" s="109" cm="1">
        <f t="array" ref="I27">PRODUCT((J10:J26)^(I10:I26))</f>
        <v>0.20320598504925372</v>
      </c>
      <c r="L27" s="2"/>
      <c r="N27" s="13"/>
    </row>
    <row r="28" spans="3:15" x14ac:dyDescent="0.3">
      <c r="E28" s="54" t="s">
        <v>91</v>
      </c>
      <c r="F28" s="17">
        <f>(-1)*($G$3*$G$4*$G$7)*LN(F27)</f>
        <v>1.2141286128672277</v>
      </c>
      <c r="G28" s="17">
        <f>(-1)*($G$3*$G$4*$G$7)*LN(G27)</f>
        <v>-16.778733727687744</v>
      </c>
      <c r="H28" s="17">
        <f>(-1)*($G$3*$G$4*$G$7)*LN(H27)</f>
        <v>3.6381280684510049</v>
      </c>
      <c r="I28" s="17">
        <f>(-1)*($G$3*$G$4*$G$7)*LN(I27)</f>
        <v>12.88823675816683</v>
      </c>
      <c r="L28" s="2"/>
      <c r="N28" s="13"/>
      <c r="O28" s="3"/>
    </row>
    <row r="29" spans="3:15" x14ac:dyDescent="0.3">
      <c r="E29" s="54" t="s">
        <v>92</v>
      </c>
      <c r="F29" s="17">
        <f>SUM(K10:K15,K15,K18:K22)</f>
        <v>269.42881271290048</v>
      </c>
      <c r="G29" s="17">
        <f>SUM(K10:K13,(2*K15),K16:K17,K19:K22)</f>
        <v>251.42831371290052</v>
      </c>
      <c r="H29" s="17">
        <f>SUM((-K15),K21:K22,K25:K26)</f>
        <v>26.050044600396255</v>
      </c>
      <c r="I29" s="17">
        <f>SUM((-K15),(-K20),K22:K26)</f>
        <v>44.052969887495713</v>
      </c>
      <c r="J29" s="16"/>
      <c r="N29" s="13"/>
      <c r="O29" s="3"/>
    </row>
    <row r="30" spans="3:15" x14ac:dyDescent="0.3">
      <c r="E30" s="54" t="s">
        <v>93</v>
      </c>
      <c r="F30" s="17">
        <f>SUM(L10:L15,L15,L18:L22)</f>
        <v>275.61494538358238</v>
      </c>
      <c r="G30" s="17">
        <f>SUM(L10:L13,(2*L15),L16:L17,L19:L22)</f>
        <v>275.6070980224921</v>
      </c>
      <c r="H30" s="17">
        <f>SUM((-L15),L21:L22,L25:L26)</f>
        <v>23.030279537527896</v>
      </c>
      <c r="I30" s="17">
        <f>SUM((-L15),(-L20),L22:L26)</f>
        <v>32.024593463832836</v>
      </c>
      <c r="J30" s="16"/>
      <c r="N30" s="13"/>
      <c r="O30" s="3"/>
    </row>
    <row r="31" spans="3:15" x14ac:dyDescent="0.3">
      <c r="E31" s="54" t="s">
        <v>94</v>
      </c>
      <c r="F31" s="17">
        <f>F28-($L$3)</f>
        <v>17.734081612867215</v>
      </c>
      <c r="G31" s="17">
        <f>G28-($L$3)</f>
        <v>-0.25878072768775695</v>
      </c>
      <c r="H31" s="17">
        <f>H28-($L$4)</f>
        <v>-0.2488584315489728</v>
      </c>
      <c r="I31" s="17">
        <f>I28-($L$4)</f>
        <v>9.0012502581668521</v>
      </c>
      <c r="N31" s="13"/>
      <c r="O31" s="3"/>
    </row>
    <row r="32" spans="3:15" x14ac:dyDescent="0.3">
      <c r="E32" s="62" t="s">
        <v>95</v>
      </c>
      <c r="F32" s="23">
        <f>F29-($M$3)</f>
        <v>8.9864007129004904</v>
      </c>
      <c r="G32" s="23">
        <f>G29-($M$3)</f>
        <v>-9.0140982870994719</v>
      </c>
      <c r="H32" s="23">
        <f>H29-($M$4)</f>
        <v>-9.0043623996037709</v>
      </c>
      <c r="I32" s="23">
        <f>I29-($M$4)</f>
        <v>8.9985628874956873</v>
      </c>
      <c r="N32" s="13"/>
      <c r="O32" s="3"/>
    </row>
    <row r="33" spans="5:15" x14ac:dyDescent="0.3">
      <c r="E33" s="62" t="s">
        <v>96</v>
      </c>
      <c r="F33" s="23">
        <f>F30-($N$3)</f>
        <v>-8.9890365308193054</v>
      </c>
      <c r="G33" s="23">
        <f>G30-($N$3)</f>
        <v>-8.9968838919095901</v>
      </c>
      <c r="H33" s="23">
        <f>H30-($N$4)</f>
        <v>-8.9970754437186216</v>
      </c>
      <c r="I33" s="23">
        <f>I30-($N$4)</f>
        <v>-2.761517413681247E-3</v>
      </c>
      <c r="N33" s="13"/>
      <c r="O33" s="3"/>
    </row>
    <row r="34" spans="5:15" x14ac:dyDescent="0.3">
      <c r="E34" s="54" t="s">
        <v>97</v>
      </c>
      <c r="F34" s="17">
        <f>F33*$G$4/1000</f>
        <v>-8.7476808999668059</v>
      </c>
      <c r="G34" s="17">
        <f>G33*$G$4/1000</f>
        <v>-8.7553175594118162</v>
      </c>
      <c r="H34" s="17">
        <f>H33*$G$4/1000</f>
        <v>-8.7555039680547768</v>
      </c>
      <c r="I34" s="17">
        <f>I33*$G$4/1000</f>
        <v>-2.6873706711239053E-3</v>
      </c>
      <c r="N34" s="13"/>
      <c r="O34" s="3"/>
    </row>
    <row r="35" spans="5:15" x14ac:dyDescent="0.3">
      <c r="F35" s="2"/>
      <c r="G35" s="2"/>
      <c r="H35" s="2"/>
      <c r="I35" s="2"/>
      <c r="O35" s="3"/>
    </row>
    <row r="36" spans="5:15" x14ac:dyDescent="0.3">
      <c r="O36" s="3"/>
    </row>
    <row r="37" spans="5:15" x14ac:dyDescent="0.3">
      <c r="O37" s="3"/>
    </row>
    <row r="38" spans="5:15" x14ac:dyDescent="0.3">
      <c r="F38" s="2"/>
      <c r="G38" s="2"/>
      <c r="H38" s="2"/>
      <c r="I38" s="2"/>
      <c r="O38" s="3"/>
    </row>
    <row r="39" spans="5:15" x14ac:dyDescent="0.3">
      <c r="O39" s="3"/>
    </row>
    <row r="40" spans="5:15" x14ac:dyDescent="0.3">
      <c r="O40" s="3"/>
    </row>
    <row r="41" spans="5:15" x14ac:dyDescent="0.3">
      <c r="O41" s="3"/>
    </row>
    <row r="42" spans="5:15" x14ac:dyDescent="0.3">
      <c r="O42" s="3"/>
    </row>
    <row r="43" spans="5:15" x14ac:dyDescent="0.3">
      <c r="O43" s="3"/>
    </row>
    <row r="44" spans="5:15" x14ac:dyDescent="0.3">
      <c r="O44" s="3"/>
    </row>
  </sheetData>
  <mergeCells count="2">
    <mergeCell ref="F2:H2"/>
    <mergeCell ref="J1:N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Gas phase thermochem.</vt:lpstr>
      <vt:lpstr>Original params</vt:lpstr>
      <vt:lpstr>Initial Krxn_calc</vt:lpstr>
      <vt:lpstr>Corrections1</vt:lpstr>
      <vt:lpstr>Corrections2</vt:lpstr>
      <vt:lpstr>Refined params</vt:lpstr>
      <vt:lpstr>Refined Krxn_calc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Nirenjan Shenoy</dc:creator>
  <cp:keywords/>
  <dc:description/>
  <cp:lastModifiedBy>Nirenjan Shenoy</cp:lastModifiedBy>
  <cp:revision/>
  <dcterms:created xsi:type="dcterms:W3CDTF">2025-05-24T17:46:06Z</dcterms:created>
  <dcterms:modified xsi:type="dcterms:W3CDTF">2026-07-02T14:00:53Z</dcterms:modified>
  <cp:category/>
  <cp:contentStatus/>
</cp:coreProperties>
</file>